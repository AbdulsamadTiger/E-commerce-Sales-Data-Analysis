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<sst xmlns="http://schemas.openxmlformats.org/spreadsheetml/2006/main" count="381" uniqueCount="142">
  <si>
    <t>Order_ID</t>
  </si>
  <si>
    <t>Order_Date</t>
  </si>
  <si>
    <t>Customer_ID</t>
  </si>
  <si>
    <t>Customer_Name</t>
  </si>
  <si>
    <t>State</t>
  </si>
  <si>
    <t>Product_Category</t>
  </si>
  <si>
    <t>Product_Name</t>
  </si>
  <si>
    <t>Unit_Price</t>
  </si>
  <si>
    <t>Quantity</t>
  </si>
  <si>
    <t>Discount_%</t>
  </si>
  <si>
    <t>Total_Amount</t>
  </si>
  <si>
    <t>Payment_Method</t>
  </si>
  <si>
    <t>Delivery_Status</t>
  </si>
  <si>
    <t>Delivery_Days</t>
  </si>
  <si>
    <t>Returned</t>
  </si>
  <si>
    <t xml:space="preserve"> </t>
  </si>
  <si>
    <t>ORD1001</t>
  </si>
  <si>
    <t>C001</t>
  </si>
  <si>
    <t>Musa Abubakar</t>
  </si>
  <si>
    <t>Lagos</t>
  </si>
  <si>
    <t>Phone</t>
  </si>
  <si>
    <t>iPhone 13</t>
  </si>
  <si>
    <t>Card</t>
  </si>
  <si>
    <t>Delivered</t>
  </si>
  <si>
    <t>No</t>
  </si>
  <si>
    <t>ORD1002</t>
  </si>
  <si>
    <t>C002</t>
  </si>
  <si>
    <t>Chinedu Okafor</t>
  </si>
  <si>
    <t>Abuja</t>
  </si>
  <si>
    <t>Laptop</t>
  </si>
  <si>
    <t>HP Pavilion 15</t>
  </si>
  <si>
    <t>Bank  Transfer</t>
  </si>
  <si>
    <t>ORD1003</t>
  </si>
  <si>
    <t>C003</t>
  </si>
  <si>
    <t>Fatima Bello</t>
  </si>
  <si>
    <t>Kano</t>
  </si>
  <si>
    <t>Accessory</t>
  </si>
  <si>
    <t>Airpods Pro</t>
  </si>
  <si>
    <t>ORD1004</t>
  </si>
  <si>
    <t>C004</t>
  </si>
  <si>
    <t>Tunde Ade</t>
  </si>
  <si>
    <t>Samsung S23</t>
  </si>
  <si>
    <t>Pay on Delivery</t>
  </si>
  <si>
    <t>Cancelled</t>
  </si>
  <si>
    <t>ORD1005</t>
  </si>
  <si>
    <t>Logitech Mouse</t>
  </si>
  <si>
    <t>ORD1006</t>
  </si>
  <si>
    <t>C005</t>
  </si>
  <si>
    <t>Aisha Mohammed</t>
  </si>
  <si>
    <t>Kaduna</t>
  </si>
  <si>
    <t>iPhone 14</t>
  </si>
  <si>
    <t>Yes</t>
  </si>
  <si>
    <t>ORD1007</t>
  </si>
  <si>
    <t>C006</t>
  </si>
  <si>
    <t>John Peter</t>
  </si>
  <si>
    <t>Rivers</t>
  </si>
  <si>
    <t>Dell inspiron</t>
  </si>
  <si>
    <t>ORD1008</t>
  </si>
  <si>
    <t>C007</t>
  </si>
  <si>
    <t>Blessing Udo</t>
  </si>
  <si>
    <t>Phone Case</t>
  </si>
  <si>
    <t>ORD1009</t>
  </si>
  <si>
    <t>C008</t>
  </si>
  <si>
    <t>Emeka Obi</t>
  </si>
  <si>
    <t>Anambra</t>
  </si>
  <si>
    <t>Tecno Camon 20</t>
  </si>
  <si>
    <t>ORD1010</t>
  </si>
  <si>
    <t>C009</t>
  </si>
  <si>
    <t>Grace James</t>
  </si>
  <si>
    <t>Macbook Air M2</t>
  </si>
  <si>
    <t>ORD1011</t>
  </si>
  <si>
    <t>Power Bank</t>
  </si>
  <si>
    <t>ORD1012</t>
  </si>
  <si>
    <t>C010</t>
  </si>
  <si>
    <t>Ahmed Yusuf</t>
  </si>
  <si>
    <t>Pending</t>
  </si>
  <si>
    <t>ORD1013</t>
  </si>
  <si>
    <t>C011</t>
  </si>
  <si>
    <t>Chioma Nnadi</t>
  </si>
  <si>
    <t>Enugu</t>
  </si>
  <si>
    <t>Lenovo Thinkpad</t>
  </si>
  <si>
    <t>ORD1014</t>
  </si>
  <si>
    <t>C012</t>
  </si>
  <si>
    <t>Victor Paul</t>
  </si>
  <si>
    <t>ORD1015</t>
  </si>
  <si>
    <t>C013</t>
  </si>
  <si>
    <t>Maryam Sani</t>
  </si>
  <si>
    <t>Samsung A54</t>
  </si>
  <si>
    <t>ORD1016</t>
  </si>
  <si>
    <t>C014</t>
  </si>
  <si>
    <t>Ibrahim Ali</t>
  </si>
  <si>
    <t>ORD1017</t>
  </si>
  <si>
    <t>C015</t>
  </si>
  <si>
    <t>Kelvin Brown</t>
  </si>
  <si>
    <t>Infinix zero</t>
  </si>
  <si>
    <t>ORD1018</t>
  </si>
  <si>
    <t>ORD1019</t>
  </si>
  <si>
    <t>C016</t>
  </si>
  <si>
    <t>Segun Adebayo</t>
  </si>
  <si>
    <t>ORD1020</t>
  </si>
  <si>
    <t>C017</t>
  </si>
  <si>
    <t>Uche Eze</t>
  </si>
  <si>
    <t>ORD1021</t>
  </si>
  <si>
    <t>C018</t>
  </si>
  <si>
    <t>Amina Idris</t>
  </si>
  <si>
    <t>ORD1022</t>
  </si>
  <si>
    <t>C019</t>
  </si>
  <si>
    <t>David Ojo</t>
  </si>
  <si>
    <t>ORD1023</t>
  </si>
  <si>
    <t>C020</t>
  </si>
  <si>
    <t>Esther Obi</t>
  </si>
  <si>
    <t>Bank Transfer</t>
  </si>
  <si>
    <t>ORD1024</t>
  </si>
  <si>
    <t>C021</t>
  </si>
  <si>
    <t>ORD1025</t>
  </si>
  <si>
    <t>C022</t>
  </si>
  <si>
    <t>Nneka Umeh</t>
  </si>
  <si>
    <t>ORD1026</t>
  </si>
  <si>
    <t>C023</t>
  </si>
  <si>
    <t>Kabiru Musa</t>
  </si>
  <si>
    <t>ORD1027</t>
  </si>
  <si>
    <t>C024</t>
  </si>
  <si>
    <t>Daniel Kings</t>
  </si>
  <si>
    <t>ORD1028</t>
  </si>
  <si>
    <t>C025</t>
  </si>
  <si>
    <t>Hajara Sule</t>
  </si>
  <si>
    <t>ORD1029</t>
  </si>
  <si>
    <t>C026</t>
  </si>
  <si>
    <t>Prince Okoro</t>
  </si>
  <si>
    <t>ORD1030</t>
  </si>
  <si>
    <t>C027</t>
  </si>
  <si>
    <t>Deborah White</t>
  </si>
  <si>
    <t>SUM of Total_Amount</t>
  </si>
  <si>
    <t xml:space="preserve"> Total</t>
  </si>
  <si>
    <t>Abuja Total</t>
  </si>
  <si>
    <t>Anambra Total</t>
  </si>
  <si>
    <t>Enugu Total</t>
  </si>
  <si>
    <t>Kaduna Total</t>
  </si>
  <si>
    <t>Kano Total</t>
  </si>
  <si>
    <t>Lagos Total</t>
  </si>
  <si>
    <t>Rivers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</si>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</sst>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Total_Amount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1'!$C$1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Pt>
            <c:idx val="33"/>
            <c:spPr>
              <a:solidFill>
                <a:srgbClr val="652B5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1'!$A$2:$A$35</c:f>
            </c:strRef>
          </c:cat>
          <c:val>
            <c:numRef>
              <c:f>'Pivot Table 1'!$C$2:$C$35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495300</xdr:colOff>
      <xdr:row>8</xdr:row>
      <xdr:rowOff>171450</xdr:rowOff>
    </xdr:from>
    <xdr:ext cx="5343525" cy="3771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P1000" sheet="Sheet1"/>
  </cacheSource>
  <cacheFields>
    <cacheField name="Order_ID" numFmtId="0">
      <sharedItems containsBlank="1">
        <s v="ORD1001"/>
        <s v="ORD1002"/>
        <s v="ORD1003"/>
        <s v="ORD1004"/>
        <s v="ORD1005"/>
        <s v="ORD1006"/>
        <s v="ORD1007"/>
        <s v="ORD1008"/>
        <s v="ORD1009"/>
        <s v="ORD1010"/>
        <s v="ORD1011"/>
        <s v="ORD1012"/>
        <s v="ORD1013"/>
        <s v="ORD1014"/>
        <s v="ORD1015"/>
        <s v="ORD1016"/>
        <s v="ORD1017"/>
        <s v="ORD1018"/>
        <s v="ORD1019"/>
        <s v="ORD1020"/>
        <s v="ORD1021"/>
        <s v="ORD1022"/>
        <s v="ORD1023"/>
        <s v="ORD1024"/>
        <s v="ORD1025"/>
        <s v="ORD1026"/>
        <s v="ORD1027"/>
        <s v="ORD1028"/>
        <s v="ORD1029"/>
        <s v="ORD1030"/>
        <m/>
      </sharedItems>
    </cacheField>
    <cacheField name="Order_Date" numFmtId="164">
      <sharedItems containsDate="1" containsString="0" containsBlank="1">
        <d v="2025-01-03T00:00:00Z"/>
        <d v="2025-01-04T00:00:00Z"/>
        <d v="2025-01-05T00:00:00Z"/>
        <d v="2025-01-06T00:00:00Z"/>
        <d v="2025-01-07T00:00:00Z"/>
        <d v="2025-01-08T00:00:00Z"/>
        <d v="2025-01-09T00:00:00Z"/>
        <d v="2025-01-10T00:00:00Z"/>
        <d v="2025-01-11T00:00:00Z"/>
        <d v="2025-01-12T00:00:00Z"/>
        <d v="2025-01-13T00:00:00Z"/>
        <d v="2025-01-14T00:00:00Z"/>
        <d v="2025-01-15T00:00:00Z"/>
        <d v="2025-01-16T00:00:00Z"/>
        <d v="2025-01-17T00:00:00Z"/>
        <d v="2025-01-18T00:00:00Z"/>
        <d v="2025-01-19T00:00:00Z"/>
        <d v="2025-01-20T00:00:00Z"/>
        <d v="2025-01-21T00:00:00Z"/>
        <d v="2025-01-22T00:00:00Z"/>
        <d v="2025-01-23T00:00:00Z"/>
        <d v="2025-01-24T00:00:00Z"/>
        <d v="2025-01-25T00:00:00Z"/>
        <m/>
      </sharedItems>
    </cacheField>
    <cacheField name="Customer_ID" numFmtId="0">
      <sharedItems containsBlank="1"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  <s v="C021"/>
        <s v="C022"/>
        <s v="C023"/>
        <s v="C024"/>
        <s v="C025"/>
        <s v="C026"/>
        <s v="C027"/>
        <m/>
      </sharedItems>
    </cacheField>
    <cacheField name="Customer_Name" numFmtId="0">
      <sharedItems containsBlank="1">
        <s v="Musa Abubakar"/>
        <s v="Chinedu Okafor"/>
        <s v="Fatima Bello"/>
        <s v="Tunde Ade"/>
        <s v="Aisha Mohammed"/>
        <s v="John Peter"/>
        <s v="Blessing Udo"/>
        <s v="Emeka Obi"/>
        <s v="Grace James"/>
        <s v="Ahmed Yusuf"/>
        <s v="Chioma Nnadi"/>
        <s v="Victor Paul"/>
        <s v="Maryam Sani"/>
        <s v="Ibrahim Ali"/>
        <s v="Kelvin Brown"/>
        <s v="Segun Adebayo"/>
        <s v="Uche Eze"/>
        <s v="Amina Idris"/>
        <s v="David Ojo"/>
        <s v="Esther Obi"/>
        <s v="Nneka Umeh"/>
        <s v="Kabiru Musa"/>
        <s v="Daniel Kings"/>
        <s v="Hajara Sule"/>
        <s v="Prince Okoro"/>
        <s v="Deborah White"/>
        <m/>
      </sharedItems>
    </cacheField>
    <cacheField name="State" numFmtId="0">
      <sharedItems containsBlank="1">
        <s v="Lagos"/>
        <s v="Abuja"/>
        <s v="Kano"/>
        <s v="Kaduna"/>
        <s v="Rivers"/>
        <s v="Anambra"/>
        <s v="Enugu"/>
        <m/>
      </sharedItems>
    </cacheField>
    <cacheField name="Product_Category" numFmtId="0">
      <sharedItems containsBlank="1">
        <s v="Phone"/>
        <s v="Laptop"/>
        <s v="Accessory"/>
        <m/>
      </sharedItems>
    </cacheField>
    <cacheField name="Product_Name" numFmtId="0">
      <sharedItems containsBlank="1">
        <s v="iPhone 13"/>
        <s v="HP Pavilion 15"/>
        <s v="Airpods Pro"/>
        <s v="Samsung S23"/>
        <s v="Logitech Mouse"/>
        <s v="iPhone 14"/>
        <s v="Dell inspiron"/>
        <s v="Phone Case"/>
        <s v="Tecno Camon 20"/>
        <s v="Macbook Air M2"/>
        <s v="Power Bank"/>
        <s v="Lenovo Thinkpad"/>
        <s v="Samsung A54"/>
        <s v="Infinix zero"/>
        <m/>
      </sharedItems>
    </cacheField>
    <cacheField name="Unit_Price" numFmtId="0">
      <sharedItems containsString="0" containsBlank="1" containsNumber="1" containsInteger="1">
        <n v="850000.0"/>
        <n v="620000.0"/>
        <n v="180000.0"/>
        <n v="780000.0"/>
        <n v="25000.0"/>
        <n v="950000.0"/>
        <n v="540000.0"/>
        <n v="8000.0"/>
        <n v="220000.0"/>
        <n v="1250000.0"/>
        <n v="20000.0"/>
        <n v="680000.0"/>
        <n v="390000.0"/>
        <m/>
      </sharedItems>
    </cacheField>
    <cacheField name="Quantity" numFmtId="0">
      <sharedItems containsString="0" containsBlank="1" containsNumber="1" containsInteger="1">
        <n v="1.0"/>
        <n v="2.0"/>
        <n v="3.0"/>
        <n v="5.0"/>
        <m/>
      </sharedItems>
    </cacheField>
    <cacheField name="Discount_%" numFmtId="0">
      <sharedItems containsString="0" containsBlank="1" containsNumber="1" containsInteger="1">
        <n v="5.0"/>
        <n v="0.0"/>
        <n v="10.0"/>
        <n v="7.0"/>
        <n v="3.0"/>
        <m/>
      </sharedItems>
    </cacheField>
    <cacheField name="Total_Amount" numFmtId="0">
      <sharedItems containsString="0" containsBlank="1" containsNumber="1" containsInteger="1">
        <n v="807500.0"/>
        <n v="620000.0"/>
        <n v="324000.0"/>
        <n v="780000.0"/>
        <n v="75000.0"/>
        <n v="883500.0"/>
        <n v="513000.0"/>
        <n v="40000.0"/>
        <n v="220000.0"/>
        <n v="1212500.0"/>
        <n v="850000.0"/>
        <n v="646000.0"/>
        <n v="180000.0"/>
        <n v="702000.0"/>
        <n v="16000.0"/>
        <n v="1187500.0"/>
        <n v="950000.0"/>
        <n v="25000.0"/>
        <n v="741000.0"/>
        <n v="972000.0"/>
        <n v="20000.0"/>
        <n v="680000.0"/>
        <n v="171000.0"/>
        <n v="390000.0"/>
        <m/>
      </sharedItems>
    </cacheField>
    <cacheField name="Payment_Method" numFmtId="0">
      <sharedItems containsBlank="1">
        <s v="Card"/>
        <s v="Bank  Transfer"/>
        <s v="Pay on Delivery"/>
        <s v="Bank Transfer"/>
        <m/>
        <s v="Order_ID"/>
        <s v="ORD1001"/>
        <s v="ORD1004"/>
        <s v="ORD1008"/>
        <s v="ORD1010"/>
        <s v="ORD1011"/>
        <s v="ORD1014"/>
        <s v="ORD1019"/>
        <s v="ORD1022"/>
        <s v="ORD1024"/>
        <s v="ORD1029"/>
      </sharedItems>
    </cacheField>
    <cacheField name="Delivery_Status" numFmtId="0">
      <sharedItems containsBlank="1">
        <s v="Delivered"/>
        <s v="Cancelled"/>
        <s v="Pending"/>
        <m/>
        <s v="Customer_Name"/>
        <s v="Musa Abubakar"/>
        <s v="Tunde Ade"/>
        <s v="Blessing Udo"/>
        <s v="Grace James"/>
        <s v="Victor Paul"/>
        <s v="Segun Adebayo"/>
        <s v="David Ojo"/>
        <s v="Prince Okoro"/>
      </sharedItems>
    </cacheField>
    <cacheField name="Delivery_Days">
      <sharedItems containsBlank="1" containsMixedTypes="1" containsNumber="1" containsInteger="1">
        <n v="3.0"/>
        <n v="5.0"/>
        <n v="4.0"/>
        <n v="0.0"/>
        <n v="2.0"/>
        <n v="6.0"/>
        <n v="1.0"/>
        <n v="7.0"/>
        <n v="8.0"/>
        <m/>
        <s v="State"/>
        <s v="Lagos"/>
      </sharedItems>
    </cacheField>
    <cacheField name="Returned" numFmtId="0">
      <sharedItems containsBlank="1">
        <s v="No"/>
        <s v="Yes"/>
        <m/>
      </sharedItems>
    </cacheField>
    <cacheField name=" " numFmtId="0">
      <sharedItems containsBlank="1">
        <s v="Airpods Pro"/>
        <m/>
        <s v="Customer_Name"/>
        <s v="Grace James"/>
        <s v="Segun Adebayo"/>
        <s v="Esther Obi"/>
        <s v="Uche Eze"/>
        <s v="Aisha Mohammed"/>
        <s v="Musa Abubakar"/>
        <s v="Ahmed Yusuf"/>
        <s v="Deborah White"/>
        <s v="Tunde Ade"/>
        <s v="David Ojo"/>
        <s v="Maryam Sani"/>
        <s v="Chinedu Okafor"/>
        <s v="Kabiru Musa"/>
        <s v="Chioma Nnadi"/>
        <s v="Ibrahim Ali"/>
        <s v="Prince Okoro"/>
        <s v="John Peter"/>
        <s v="Hajara Sule"/>
        <s v="Fatima Bello"/>
        <s v="Emeka Obi"/>
        <s v="Nneka Umeh"/>
        <s v="Kelvin Brown"/>
        <s v="Victor Paul"/>
        <s v="Daniel Kings"/>
        <s v="Blessing Udo"/>
        <s v="Amina Idris"/>
      </sharedItems>
    </cacheField>
    <cacheField name=" 2">
      <sharedItems containsBlank="1" containsMixedTypes="1" containsNumber="1" containsInteger="1">
        <s v="Tecno Camon 20"/>
        <m/>
        <s v="sum Total_Amount"/>
        <n v="1212500.0"/>
        <n v="1187500.0"/>
        <n v="972000.0"/>
        <n v="950000.0"/>
        <n v="883500.0"/>
        <n v="867500.0"/>
        <n v="850000.0"/>
        <n v="780000.0"/>
        <n v="741000.0"/>
        <n v="702000.0"/>
        <n v="695000.0"/>
        <n v="680000.0"/>
        <n v="646000.0"/>
        <n v="620000.0"/>
        <n v="513000.0"/>
        <n v="390000.0"/>
        <n v="340000.0"/>
        <n v="220000.0"/>
        <n v="180000.0"/>
        <n v="171000.0"/>
        <n v="40000.0"/>
        <n v="25000.0"/>
      </sharedItems>
    </cacheField>
    <cacheField name=" 3" numFmtId="0">
      <sharedItems containsBlank="1">
        <s v="Macbook Air M2"/>
        <m/>
        <s v="Product_Name"/>
        <s v="Phone Case"/>
        <s v="Airpods Pro"/>
        <s v="Logitech Mouse"/>
        <s v="Dell inspiron"/>
        <s v="HP Pavilion 15"/>
        <s v="Power Bank"/>
        <s v="Samsung A54"/>
        <s v="iPhone 13"/>
        <s v="Lenovo Thinkpad"/>
        <s v="Samsung S23"/>
        <s v="Tecno Camon 20"/>
        <s v="iPhone 14"/>
        <s v="Infinix zero"/>
      </sharedItems>
    </cacheField>
    <cacheField name=" 4">
      <sharedItems containsBlank="1" containsMixedTypes="1" containsNumber="1" containsInteger="1">
        <s v="Bank  Transfer"/>
        <m/>
        <s v="sum Quantity"/>
        <n v="7.0"/>
        <n v="4.0"/>
        <n v="3.0"/>
        <n v="2.0"/>
        <n v="1.0"/>
        <s v="Order_ID"/>
        <s v="ORD1003"/>
        <s v="ORD1005"/>
        <s v="ORD1008"/>
        <s v="ORD1011"/>
        <s v="ORD1014"/>
        <s v="ORD1018"/>
        <s v="ORD1021"/>
        <s v="ORD1024"/>
        <s v="ORD1027"/>
      </sharedItems>
    </cacheField>
    <cacheField name=" 5" numFmtId="0">
      <sharedItems containsBlank="1">
        <s v="Card"/>
        <m/>
        <s v="State"/>
        <s v="Lagos"/>
        <s v="Abuja"/>
        <s v="Kano"/>
        <s v="Kaduna"/>
        <s v="Enugu"/>
        <s v="Rivers"/>
        <s v="Anambra"/>
        <s v="Bank  Transfer"/>
        <s v="Customer_Name"/>
        <s v="Fatima Bello"/>
        <s v="Chinedu Okafor"/>
        <s v="Blessing Udo"/>
        <s v="Musa Abubakar"/>
        <s v="Victor Paul"/>
        <s v="Amina Idris"/>
        <s v="Daniel Kings"/>
      </sharedItems>
    </cacheField>
    <cacheField name=" 6">
      <sharedItems containsBlank="1" containsMixedTypes="1" containsNumber="1" containsInteger="1">
        <s v="HP Pavilion 15"/>
        <m/>
        <s v="sum Quantity"/>
        <n v="15.0"/>
        <n v="7.0"/>
        <n v="6.0"/>
        <n v="4.0"/>
        <n v="3.0"/>
        <n v="2.0"/>
        <s v="Product_Category"/>
        <s v="Accessory"/>
      </sharedItems>
    </cacheField>
    <cacheField name=" 7" numFmtId="0">
      <sharedItems containsBlank="1">
        <m/>
        <s v="Product_Name"/>
        <s v="Airpods Pro"/>
        <s v="Dell inspiron"/>
        <s v="Samsung A54"/>
        <s v="Macbook Air M2"/>
        <s v="iPhone 14"/>
        <s v="Lenovo Thinkpad"/>
        <s v="Samsung S23"/>
        <s v="iPhone 13"/>
        <s v="HP Pavilion 15"/>
        <s v="Infinix zero"/>
        <s v="Logitech Mouse"/>
        <s v="Phone Case"/>
        <s v="Power Bank"/>
        <s v="Tecno Camon 20"/>
      </sharedItems>
    </cacheField>
    <cacheField name=" 8">
      <sharedItems containsBlank="1" containsMixedTypes="1" containsNumber="1" containsInteger="1">
        <m/>
        <s v="sum Discount_%"/>
        <n v="15.0"/>
        <n v="10.0"/>
        <n v="8.0"/>
        <n v="7.0"/>
        <n v="5.0"/>
        <n v="0.0"/>
      </sharedItems>
    </cacheField>
    <cacheField name=" 9" numFmtId="0">
      <sharedItems containsBlank="1">
        <m/>
        <s v="State"/>
        <s v="Lagos"/>
        <s v="Abuja"/>
        <s v="Kaduna"/>
        <s v="Kano"/>
        <s v="Enugu"/>
        <s v="Anambra"/>
        <s v="Rivers"/>
        <s v="Order_ID"/>
        <s v="ORD1001"/>
        <s v="ORD1004"/>
        <s v="ORD1006"/>
        <s v="ORD1010"/>
        <s v="ORD1012"/>
        <s v="ORD1019"/>
        <s v="ORD1020"/>
        <s v="ORD1022"/>
        <s v="ORD1030"/>
      </sharedItems>
    </cacheField>
    <cacheField name=" 10">
      <sharedItems containsBlank="1" containsMixedTypes="1" containsNumber="1" containsInteger="1">
        <m/>
        <s v="sum Total_Amount"/>
        <n v="5628500.0"/>
        <n v="2410000.0"/>
        <n v="1975500.0"/>
        <n v="1870000.0"/>
        <n v="1618000.0"/>
        <n v="1170000.0"/>
        <n v="864000.0"/>
        <s v="Customer_Name"/>
        <s v="Musa Abubakar"/>
        <s v="Tunde Ade"/>
        <s v="Aisha Mohammed"/>
        <s v="Grace James"/>
        <s v="Ahmed Yusuf"/>
        <s v="Segun Adebayo"/>
        <s v="Uche Eze"/>
        <s v="David Ojo"/>
        <s v="Deborah White"/>
        <e v="#VALUE!"/>
      </sharedItems>
    </cacheField>
    <cacheField name=" 11">
      <sharedItems containsBlank="1" containsMixedTypes="1" containsNumber="1" containsInteger="1">
        <m/>
        <s v="Product_Name"/>
        <s v="Macbook Air M2"/>
        <s v="HP Pavilion 15"/>
        <s v="Lenovo Thinkpad"/>
        <s v="Airpods Pro"/>
        <s v="Dell inspiron"/>
        <s v="Samsung A54"/>
        <s v="iPhone 13"/>
        <s v="Tecno Camon 20"/>
        <s v="iPhone 14"/>
        <s v="Logitech Mouse"/>
        <s v="Samsung S23"/>
        <s v="Infinix zero"/>
        <s v="Phone Case"/>
        <s v="Power Bank"/>
        <s v="Unit_Price"/>
        <n v="850000.0"/>
        <n v="780000.0"/>
        <n v="950000.0"/>
        <n v="1250000.0"/>
      </sharedItems>
    </cacheField>
    <cacheField name=" 12">
      <sharedItems containsBlank="1" containsMixedTypes="1" containsNumber="1" containsInteger="1">
        <m/>
        <s v="sum Delivery_Days"/>
        <n v="15.0"/>
        <n v="11.0"/>
        <n v="9.0"/>
        <n v="8.0"/>
        <n v="6.0"/>
        <n v="4.0"/>
        <n v="3.0"/>
        <s v="Total_Amount"/>
        <n v="807500.0"/>
        <n v="780000.0"/>
        <n v="883500.0"/>
        <n v="1212500.0"/>
        <n v="850000.0"/>
        <n v="1187500.0"/>
        <n v="950000.0"/>
        <n v="741000.0"/>
      </sharedItems>
    </cacheField>
    <cacheField name=" 13" numFmtId="0">
      <sharedItems containsString="0" containsBlank="1">
        <m/>
      </sharedItems>
    </cacheField>
    <cacheField name=" 14" numFmtId="0">
      <sharedItems containsBlank="1">
        <m/>
        <s v="Order_ID"/>
        <s v="ORD1001"/>
        <s v="ORD1002"/>
        <s v="ORD1003"/>
        <s v="ORD1004"/>
        <s v="ORD1005"/>
        <s v="ORD1006"/>
        <s v="ORD1007"/>
        <s v="ORD1008"/>
        <s v="ORD1010"/>
        <s v="ORD1012"/>
        <s v="ORD1019"/>
        <s v="ORD1020"/>
        <s v="ORD1022"/>
        <s v="ORD1030"/>
      </sharedItems>
    </cacheField>
    <cacheField name=" 15">
      <sharedItems containsDate="1" containsBlank="1" containsMixedTypes="1">
        <m/>
        <s v="Order_Date"/>
        <d v="2025-01-03T00:00:00Z"/>
        <d v="2025-01-04T00:00:00Z"/>
        <d v="2025-01-05T00:00:00Z"/>
        <d v="2025-01-06T00:00:00Z"/>
        <d v="2025-01-07T00:00:00Z"/>
        <d v="2025-01-08T00:00:00Z"/>
        <s v="Customer_Name"/>
        <s v="Musa Abubakar"/>
        <s v="Tunde Ade"/>
        <s v="Aisha Mohammed"/>
        <s v="Grace James"/>
        <s v="Ahmed Yusuf"/>
        <s v="Segun Adebayo"/>
        <s v="Uche Eze"/>
        <s v="David Ojo"/>
        <s v="Deborah White"/>
      </sharedItems>
    </cacheField>
    <cacheField name=" 16" numFmtId="0">
      <sharedItems containsBlank="1">
        <m/>
        <s v="Customer_ID"/>
        <s v="C001"/>
        <s v="C002"/>
        <s v="C003"/>
        <s v="C004"/>
        <s v="C005"/>
        <s v="C006"/>
        <s v="C007"/>
        <s v="Product_Category"/>
        <s v="Phone"/>
        <s v="Laptop"/>
      </sharedItems>
    </cacheField>
    <cacheField name=" 17" numFmtId="0">
      <sharedItems containsBlank="1">
        <m/>
        <s v="Customer_Name"/>
        <s v="Musa Abubakar"/>
        <s v="Chinedu Okafor"/>
        <s v="Fatima Bello"/>
        <s v="Tunde Ade"/>
        <s v="Aisha Mohammed"/>
        <s v="John Peter"/>
        <s v="Blessing Udo"/>
        <s v="Product_Name"/>
        <s v="iPhone 13"/>
        <s v="Samsung S23"/>
        <s v="iPhone 14"/>
        <s v="Macbook Air M2"/>
      </sharedItems>
    </cacheField>
    <cacheField name=" 18">
      <sharedItems containsBlank="1" containsMixedTypes="1" containsNumber="1" containsInteger="1">
        <m/>
        <s v="State"/>
        <s v="Lagos"/>
        <s v="Abuja"/>
        <s v="Kano"/>
        <s v="Kaduna"/>
        <s v="Rivers"/>
        <s v="Unit_Price"/>
        <n v="850000.0"/>
        <n v="780000.0"/>
        <n v="950000.0"/>
        <n v="1250000.0"/>
      </sharedItems>
    </cacheField>
    <cacheField name=" 19" numFmtId="0">
      <sharedItems containsBlank="1">
        <m/>
        <s v="Product_Category"/>
        <s v="Phone"/>
        <s v="Laptop"/>
        <s v="Accessory"/>
      </sharedItems>
    </cacheField>
    <cacheField name=" 20" numFmtId="0">
      <sharedItems containsBlank="1">
        <m/>
        <s v="Product_Name"/>
        <s v="iPhone 13"/>
        <s v="HP Pavilion 15"/>
        <s v="Airpods Pro"/>
        <s v="Samsung S23"/>
        <s v="Logitech Mouse"/>
        <s v="iPhone 14"/>
        <s v="Dell inspiron"/>
        <s v="Phone Case"/>
      </sharedItems>
    </cacheField>
    <cacheField name=" 21">
      <sharedItems containsBlank="1" containsMixedTypes="1" containsNumber="1" containsInteger="1">
        <m/>
        <s v="Unit_Price"/>
        <n v="850000.0"/>
        <n v="620000.0"/>
        <n v="180000.0"/>
        <n v="780000.0"/>
        <n v="25000.0"/>
        <n v="950000.0"/>
        <n v="540000.0"/>
        <n v="8000.0"/>
        <s v="Order_ID"/>
        <s v="ORD1001"/>
        <s v="ORD1004"/>
        <s v="ORD1006"/>
        <s v="ORD1009"/>
        <s v="ORD1012"/>
        <s v="ORD1015"/>
        <s v="ORD1017"/>
        <s v="ORD1020"/>
        <s v="ORD1022"/>
        <s v="ORD1025"/>
        <s v="ORD1028"/>
        <s v="ORD1030"/>
      </sharedItems>
    </cacheField>
    <cacheField name=" 22">
      <sharedItems containsBlank="1" containsMixedTypes="1" containsNumber="1" containsInteger="1">
        <m/>
        <s v="Quantity"/>
        <n v="1.0"/>
        <n v="2.0"/>
        <n v="3.0"/>
        <n v="5.0"/>
        <s v="Customer_Name"/>
        <s v="Musa Abubakar"/>
        <s v="Tunde Ade"/>
        <s v="Aisha Mohammed"/>
        <s v="Emeka Obi"/>
        <s v="Ahmed Yusuf"/>
        <s v="Maryam Sani"/>
        <s v="Kelvin Brown"/>
        <s v="Uche Eze"/>
        <s v="David Ojo"/>
        <s v="Nneka Umeh"/>
        <s v="Hajara Sule"/>
        <s v="Deborah White"/>
      </sharedItems>
    </cacheField>
    <cacheField name=" 23">
      <sharedItems containsBlank="1" containsMixedTypes="1" containsNumber="1" containsInteger="1">
        <m/>
        <s v="Discount_%"/>
        <n v="5.0"/>
        <n v="0.0"/>
        <n v="10.0"/>
        <n v="7.0"/>
        <s v="State"/>
        <s v="Lagos"/>
        <s v="Kaduna"/>
        <s v="Anambra"/>
        <s v="Kano"/>
        <s v="Rivers"/>
        <s v="Abuja"/>
      </sharedItems>
    </cacheField>
    <cacheField name=" 24">
      <sharedItems containsBlank="1" containsMixedTypes="1" containsNumber="1" containsInteger="1">
        <m/>
        <s v="Total_Amount"/>
        <n v="807500.0"/>
        <n v="620000.0"/>
        <n v="324000.0"/>
        <n v="780000.0"/>
        <n v="75000.0"/>
        <n v="883500.0"/>
        <n v="513000.0"/>
        <n v="40000.0"/>
        <s v="Product_Category"/>
        <s v="Phone"/>
      </sharedItems>
    </cacheField>
    <cacheField name=" 25" numFmtId="0">
      <sharedItems containsBlank="1">
        <m/>
        <s v="Payment_Method"/>
        <s v="Card"/>
        <s v="Bank  Transfer"/>
        <s v="Pay on Delivery"/>
        <s v="Product_Name"/>
        <s v="iPhone 13"/>
        <s v="Samsung S23"/>
        <s v="iPhone 14"/>
        <s v="Tecno Camon 20"/>
        <s v="Samsung A54"/>
        <s v="Infinix zero"/>
      </sharedItems>
    </cacheField>
    <cacheField name=" 26" numFmtId="0">
      <sharedItems containsBlank="1">
        <m/>
        <s v="Delivery_Status"/>
        <s v="Delivered"/>
        <s v="Cancelled"/>
      </sharedItems>
    </cacheField>
    <cacheField name=" 27">
      <sharedItems containsBlank="1" containsMixedTypes="1" containsNumber="1" containsInteger="1">
        <m/>
        <s v="Delivery_Days"/>
        <n v="3.0"/>
        <n v="5.0"/>
        <n v="4.0"/>
        <n v="0.0"/>
        <n v="2.0"/>
        <n v="6.0"/>
        <n v="1.0"/>
      </sharedItems>
    </cacheField>
    <cacheField name=" 28" numFmtId="0">
      <sharedItems containsBlank="1">
        <m/>
        <s v="Returned"/>
        <s v="No"/>
        <s v="Yes"/>
      </sharedItems>
    </cacheField>
    <cacheField name=" 29" numFmtId="0">
      <sharedItems containsBlank="1">
        <m/>
        <s v="Order_ID"/>
        <s v="ORD1001"/>
        <s v="ORD1002"/>
        <s v="ORD1003"/>
        <s v="ORD1004"/>
        <s v="ORD1005"/>
        <s v="ORD1006"/>
        <s v="ORD1007"/>
      </sharedItems>
    </cacheField>
    <cacheField name=" 30">
      <sharedItems containsDate="1" containsBlank="1" containsMixedTypes="1">
        <m/>
        <s v="Order_Date"/>
        <d v="2025-01-03T00:00:00Z"/>
        <d v="2025-01-04T00:00:00Z"/>
        <d v="2025-01-05T00:00:00Z"/>
        <d v="2025-01-06T00:00:00Z"/>
        <d v="2025-01-07T00:00:00Z"/>
      </sharedItems>
    </cacheField>
    <cacheField name=" 31" numFmtId="0">
      <sharedItems containsBlank="1">
        <m/>
        <s v="Customer_ID"/>
        <s v="C001"/>
        <s v="C002"/>
        <s v="C003"/>
        <s v="C004"/>
        <s v="C005"/>
        <s v="C006"/>
      </sharedItems>
    </cacheField>
    <cacheField name=" 32" numFmtId="0">
      <sharedItems containsBlank="1">
        <m/>
        <s v="Customer_Name"/>
        <s v="Musa Abubakar"/>
        <s v="Chinedu Okafor"/>
        <s v="Fatima Bello"/>
        <s v="Tunde Ade"/>
        <s v="Aisha Mohammed"/>
        <s v="John Peter"/>
      </sharedItems>
    </cacheField>
    <cacheField name=" 33" numFmtId="0">
      <sharedItems containsBlank="1">
        <m/>
        <s v="State"/>
        <s v="Lagos"/>
        <s v="Abuja"/>
        <s v="Kano"/>
        <s v="Kaduna"/>
        <s v="Rivers"/>
      </sharedItems>
    </cacheField>
    <cacheField name=" 34" numFmtId="0">
      <sharedItems containsBlank="1">
        <m/>
        <s v="Product_Category"/>
        <s v="Phone"/>
        <s v="Laptop"/>
        <s v="Accessory"/>
      </sharedItems>
    </cacheField>
    <cacheField name=" 35" numFmtId="0">
      <sharedItems containsBlank="1">
        <m/>
        <s v="Product_Name"/>
        <s v="iPhone 13"/>
        <s v="HP Pavilion 15"/>
        <s v="Airpods Pro"/>
        <s v="Samsung S23"/>
        <s v="Logitech Mouse"/>
        <s v="iPhone 14"/>
        <s v="Dell inspiron"/>
      </sharedItems>
    </cacheField>
    <cacheField name=" 36">
      <sharedItems containsBlank="1" containsMixedTypes="1" containsNumber="1" containsInteger="1">
        <m/>
        <s v="Unit_Price"/>
        <n v="850000.0"/>
        <n v="620000.0"/>
        <n v="180000.0"/>
        <n v="780000.0"/>
        <n v="25000.0"/>
        <n v="950000.0"/>
        <n v="540000.0"/>
      </sharedItems>
    </cacheField>
    <cacheField name=" 37">
      <sharedItems containsBlank="1" containsMixedTypes="1" containsNumber="1" containsInteger="1">
        <m/>
        <s v="Quantity"/>
        <n v="1.0"/>
        <n v="2.0"/>
        <n v="3.0"/>
      </sharedItems>
    </cacheField>
    <cacheField name=" 38">
      <sharedItems containsBlank="1" containsMixedTypes="1" containsNumber="1" containsInteger="1">
        <m/>
        <s v="Discount_%"/>
        <n v="5.0"/>
        <n v="0.0"/>
        <n v="10.0"/>
        <n v="7.0"/>
      </sharedItems>
    </cacheField>
    <cacheField name=" 39">
      <sharedItems containsBlank="1" containsMixedTypes="1" containsNumber="1" containsInteger="1">
        <m/>
        <s v="Total_Amount"/>
        <n v="807500.0"/>
        <n v="620000.0"/>
        <n v="324000.0"/>
        <n v="780000.0"/>
        <n v="75000.0"/>
        <n v="883500.0"/>
        <n v="513000.0"/>
      </sharedItems>
    </cacheField>
    <cacheField name=" 40" numFmtId="0">
      <sharedItems containsBlank="1">
        <m/>
        <s v="Payment_Method"/>
        <s v="Card"/>
        <s v="Bank  Transfer"/>
        <s v="Pay on Delivery"/>
      </sharedItems>
    </cacheField>
    <cacheField name=" 41" numFmtId="0">
      <sharedItems containsBlank="1">
        <m/>
        <s v="Delivery_Status"/>
        <s v="Delivered"/>
        <s v="Cancelled"/>
      </sharedItems>
    </cacheField>
    <cacheField name=" 42">
      <sharedItems containsBlank="1" containsMixedTypes="1" containsNumber="1" containsInteger="1">
        <m/>
        <s v="Delivery_Days"/>
        <n v="3.0"/>
        <n v="5.0"/>
        <n v="4.0"/>
        <n v="0.0"/>
        <n v="2.0"/>
        <n v="6.0"/>
      </sharedItems>
    </cacheField>
    <cacheField name=" 43" numFmtId="0">
      <sharedItems containsBlank="1">
        <m/>
        <s v="Returned"/>
        <s v="No"/>
        <s v="Yes"/>
      </sharedItems>
    </cacheField>
    <cacheField name=" 44" numFmtId="0">
      <sharedItems containsString="0" containsBlank="1">
        <m/>
      </sharedItems>
    </cacheField>
    <cacheField name=" 45" numFmtId="0">
      <sharedItems containsString="0" containsBlank="1">
        <m/>
      </sharedItems>
    </cacheField>
    <cacheField name=" 46" numFmtId="0">
      <sharedItems containsString="0" containsBlank="1">
        <m/>
      </sharedItems>
    </cacheField>
    <cacheField name=" 47" numFmtId="0">
      <sharedItems containsString="0" containsBlank="1">
        <m/>
      </sharedItems>
    </cacheField>
    <cacheField name=" 48" numFmtId="0">
      <sharedItems containsString="0" containsBlank="1">
        <m/>
      </sharedItems>
    </cacheField>
    <cacheField name=" 49" numFmtId="0">
      <sharedItems containsString="0" containsBlank="1">
        <m/>
      </sharedItems>
    </cacheField>
    <cacheField name=" 50" numFmtId="0">
      <sharedItems containsString="0" containsBlank="1">
        <m/>
      </sharedItems>
    </cacheField>
    <cacheField name=" 51" numFmtId="0">
      <sharedItems containsString="0" containsBlank="1">
        <m/>
      </sharedItems>
    </cacheField>
    <cacheField name=" 52" numFmtId="0">
      <sharedItems containsString="0" containsBlank="1">
        <m/>
      </sharedItems>
    </cacheField>
    <cacheField name=" 53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35" firstHeaderRow="0" firstDataRow="2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tate" axis="axisRow" compact="0" outline="0" multipleItemSelectionAllowed="1" showAll="0" sortType="ascending">
      <items>
        <item x="7"/>
        <item x="1"/>
        <item x="5"/>
        <item x="6"/>
        <item x="3"/>
        <item x="2"/>
        <item x="0"/>
        <item x="4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t="default"/>
      </items>
    </pivotField>
    <pivotField name="Product_Name" axis="axisRow" compact="0" outline="0" multipleItemSelectionAllowed="1" showAll="0" sortType="ascending">
      <items>
        <item x="14"/>
        <item x="2"/>
        <item x="6"/>
        <item x="1"/>
        <item x="13"/>
        <item x="0"/>
        <item x="5"/>
        <item x="11"/>
        <item x="4"/>
        <item x="9"/>
        <item x="7"/>
        <item x="10"/>
        <item x="12"/>
        <item x="3"/>
        <item x="8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iscount_%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Delivery_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elivery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turned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 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 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 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 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 8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 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 1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 1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 1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 1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1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 1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1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 19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2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 2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 2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 2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 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 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 26" compact="0" outline="0" multipleItemSelectionAllowed="1" showAll="0">
      <items>
        <item x="0"/>
        <item x="1"/>
        <item x="2"/>
        <item x="3"/>
        <item t="default"/>
      </items>
    </pivotField>
    <pivotField name=" 2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 28" compact="0" outline="0" multipleItemSelectionAllowed="1" showAll="0">
      <items>
        <item x="0"/>
        <item x="1"/>
        <item x="2"/>
        <item x="3"/>
        <item t="default"/>
      </items>
    </pivotField>
    <pivotField name=" 2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 30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3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 3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 33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34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3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 3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 37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38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 3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 40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41" compact="0" outline="0" multipleItemSelectionAllowed="1" showAll="0">
      <items>
        <item x="0"/>
        <item x="1"/>
        <item x="2"/>
        <item x="3"/>
        <item t="default"/>
      </items>
    </pivotField>
    <pivotField name=" 4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 43" compact="0" outline="0" multipleItemSelectionAllowed="1" showAll="0">
      <items>
        <item x="0"/>
        <item x="1"/>
        <item x="2"/>
        <item x="3"/>
        <item t="default"/>
      </items>
    </pivotField>
    <pivotField name=" 44" compact="0" outline="0" multipleItemSelectionAllowed="1" showAll="0">
      <items>
        <item x="0"/>
        <item t="default"/>
      </items>
    </pivotField>
    <pivotField name=" 45" compact="0" outline="0" multipleItemSelectionAllowed="1" showAll="0">
      <items>
        <item x="0"/>
        <item t="default"/>
      </items>
    </pivotField>
    <pivotField name=" 46" compact="0" outline="0" multipleItemSelectionAllowed="1" showAll="0">
      <items>
        <item x="0"/>
        <item t="default"/>
      </items>
    </pivotField>
    <pivotField name=" 47" compact="0" outline="0" multipleItemSelectionAllowed="1" showAll="0">
      <items>
        <item x="0"/>
        <item t="default"/>
      </items>
    </pivotField>
    <pivotField name=" 48" compact="0" outline="0" multipleItemSelectionAllowed="1" showAll="0">
      <items>
        <item x="0"/>
        <item t="default"/>
      </items>
    </pivotField>
    <pivotField name=" 49" compact="0" outline="0" multipleItemSelectionAllowed="1" showAll="0">
      <items>
        <item x="0"/>
        <item t="default"/>
      </items>
    </pivotField>
    <pivotField name=" 50" compact="0" outline="0" multipleItemSelectionAllowed="1" showAll="0">
      <items>
        <item x="0"/>
        <item t="default"/>
      </items>
    </pivotField>
    <pivotField name=" 51" compact="0" outline="0" multipleItemSelectionAllowed="1" showAll="0">
      <items>
        <item x="0"/>
        <item t="default"/>
      </items>
    </pivotField>
    <pivotField name=" 52" compact="0" outline="0" multipleItemSelectionAllowed="1" showAll="0">
      <items>
        <item x="0"/>
        <item t="default"/>
      </items>
    </pivotField>
    <pivotField name=" 53" compact="0" outline="0" multipleItemSelectionAllowed="1" showAll="0">
      <items>
        <item x="0"/>
        <item t="default"/>
      </items>
    </pivotField>
  </pivotFields>
  <rowFields>
    <field x="4"/>
    <field x="6"/>
  </rowFields>
  <dataFields>
    <dataField name="SUM of Total_Amount" fld="1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3.88"/>
    <col customWidth="1" min="3" max="3" width="17.38"/>
    <col customWidth="1" min="4" max="4" width="17.13"/>
    <col customWidth="1" min="5" max="5" width="14.0"/>
    <col customWidth="1" min="6" max="6" width="16.5"/>
    <col customWidth="1" min="7" max="7" width="15.13"/>
    <col customWidth="1" min="8" max="8" width="15.25"/>
    <col customWidth="1" min="9" max="9" width="14.5"/>
    <col customWidth="1" min="11" max="11" width="14.75"/>
    <col customWidth="1" min="12" max="12" width="15.88"/>
    <col customWidth="1" min="13" max="13" width="14.0"/>
    <col customWidth="1" min="14" max="14" width="13.5"/>
    <col customWidth="1" min="15" max="15" width="8.5"/>
    <col customWidth="1" min="16" max="17" width="14.5"/>
    <col customWidth="1" min="18" max="18" width="13.63"/>
    <col customWidth="1" min="20" max="20" width="13.88"/>
    <col customWidth="1" min="21" max="21" width="15.38"/>
    <col customWidth="1" min="22" max="22" width="14.63"/>
    <col customWidth="1" min="27" max="27" width="15.88"/>
    <col customWidth="1" min="30" max="30" width="15.5"/>
    <col customWidth="1" min="31" max="31" width="14.0"/>
    <col customWidth="1" min="34" max="34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15</v>
      </c>
      <c r="R1" s="2" t="s">
        <v>15</v>
      </c>
      <c r="S1" s="2" t="s">
        <v>15</v>
      </c>
      <c r="T1" s="2" t="s">
        <v>15</v>
      </c>
      <c r="U1" s="2" t="s">
        <v>15</v>
      </c>
      <c r="V1" s="2" t="s">
        <v>15</v>
      </c>
      <c r="W1" s="2" t="s">
        <v>15</v>
      </c>
      <c r="X1" s="2" t="s">
        <v>15</v>
      </c>
      <c r="Y1" s="2" t="s">
        <v>15</v>
      </c>
      <c r="Z1" s="2" t="s">
        <v>15</v>
      </c>
      <c r="AA1" s="2" t="s">
        <v>15</v>
      </c>
      <c r="AB1" s="2" t="s">
        <v>15</v>
      </c>
      <c r="AC1" s="2" t="s">
        <v>15</v>
      </c>
      <c r="AD1" s="2" t="s">
        <v>15</v>
      </c>
      <c r="AE1" s="2" t="s">
        <v>15</v>
      </c>
      <c r="AF1" s="2" t="s">
        <v>15</v>
      </c>
      <c r="AG1" s="2" t="s">
        <v>15</v>
      </c>
      <c r="AH1" s="2" t="s">
        <v>15</v>
      </c>
      <c r="AI1" s="2" t="s">
        <v>15</v>
      </c>
      <c r="AJ1" s="2" t="s">
        <v>15</v>
      </c>
      <c r="AK1" s="2" t="s">
        <v>15</v>
      </c>
      <c r="AL1" s="2" t="s">
        <v>15</v>
      </c>
      <c r="AM1" s="2" t="s">
        <v>15</v>
      </c>
      <c r="AN1" s="2" t="s">
        <v>15</v>
      </c>
      <c r="AO1" s="2" t="s">
        <v>15</v>
      </c>
      <c r="AP1" s="2" t="s">
        <v>15</v>
      </c>
      <c r="AQ1" s="2" t="s">
        <v>15</v>
      </c>
      <c r="AR1" s="2" t="s">
        <v>15</v>
      </c>
      <c r="AS1" s="2" t="s">
        <v>15</v>
      </c>
      <c r="AT1" s="2" t="s">
        <v>15</v>
      </c>
      <c r="AU1" s="2" t="s">
        <v>15</v>
      </c>
      <c r="AV1" s="2" t="s">
        <v>15</v>
      </c>
      <c r="AW1" s="2" t="s">
        <v>15</v>
      </c>
      <c r="AX1" s="2" t="s">
        <v>15</v>
      </c>
      <c r="AY1" s="2" t="s">
        <v>15</v>
      </c>
      <c r="AZ1" s="2" t="s">
        <v>15</v>
      </c>
      <c r="BA1" s="2" t="s">
        <v>15</v>
      </c>
      <c r="BB1" s="2" t="s">
        <v>15</v>
      </c>
      <c r="BC1" s="2" t="s">
        <v>15</v>
      </c>
      <c r="BD1" s="2" t="s">
        <v>15</v>
      </c>
      <c r="BE1" s="2" t="s">
        <v>15</v>
      </c>
      <c r="BF1" s="2" t="s">
        <v>15</v>
      </c>
      <c r="BG1" s="2" t="s">
        <v>15</v>
      </c>
      <c r="BH1" s="2" t="s">
        <v>15</v>
      </c>
      <c r="BI1" s="2" t="s">
        <v>15</v>
      </c>
      <c r="BJ1" s="2" t="s">
        <v>15</v>
      </c>
      <c r="BK1" s="2" t="s">
        <v>15</v>
      </c>
      <c r="BL1" s="2" t="s">
        <v>15</v>
      </c>
      <c r="BM1" s="2" t="s">
        <v>15</v>
      </c>
      <c r="BN1" s="2" t="s">
        <v>15</v>
      </c>
      <c r="BO1" s="2" t="s">
        <v>15</v>
      </c>
      <c r="BP1" s="2" t="s">
        <v>15</v>
      </c>
    </row>
    <row r="2">
      <c r="A2" s="1" t="s">
        <v>16</v>
      </c>
      <c r="B2" s="3">
        <v>45660.0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>
        <v>850000.0</v>
      </c>
      <c r="I2" s="1">
        <v>1.0</v>
      </c>
      <c r="J2" s="1">
        <v>5.0</v>
      </c>
      <c r="K2" s="1">
        <v>807500.0</v>
      </c>
      <c r="L2" s="1" t="s">
        <v>22</v>
      </c>
      <c r="M2" s="1" t="s">
        <v>23</v>
      </c>
      <c r="N2" s="1">
        <v>3.0</v>
      </c>
      <c r="O2" s="1" t="s">
        <v>24</v>
      </c>
      <c r="P2" s="2" t="str">
        <f t="array" ref="P2">XLOOKUP("C024", C2:C1000, G2:G1000)</f>
        <v>Airpods Pro</v>
      </c>
      <c r="Q2" s="2" t="str">
        <f t="array" ref="Q2">XLOOKUP("C008",C2:C31,G2:G31)</f>
        <v>Tecno Camon 20</v>
      </c>
      <c r="R2" s="2" t="str">
        <f t="array" ref="R2">XLOOKUP("C009",C2:C31, G2:G31)</f>
        <v>Macbook Air M2</v>
      </c>
      <c r="S2" s="2" t="str">
        <f t="array" ref="S2">XLOOKUP("C013",C2:C30,L2:L30)</f>
        <v>Bank  Transfer</v>
      </c>
      <c r="T2" s="2" t="str">
        <f t="array" ref="T2">XLOOKUP("C019", C2:C34, L2:L34)</f>
        <v>Card</v>
      </c>
      <c r="U2" s="2" t="str">
        <f t="array" ref="U2">XLOOKUP("C014",C1:C500,G1:G500)</f>
        <v>HP Pavilion 15</v>
      </c>
    </row>
    <row r="3">
      <c r="A3" s="1" t="s">
        <v>25</v>
      </c>
      <c r="B3" s="3">
        <v>45661.0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>
        <v>620000.0</v>
      </c>
      <c r="I3" s="1">
        <v>1.0</v>
      </c>
      <c r="J3" s="1">
        <v>0.0</v>
      </c>
      <c r="K3" s="1">
        <v>620000.0</v>
      </c>
      <c r="L3" s="1" t="s">
        <v>31</v>
      </c>
      <c r="M3" s="1" t="s">
        <v>23</v>
      </c>
      <c r="N3" s="1">
        <v>5.0</v>
      </c>
      <c r="O3" s="1" t="s">
        <v>24</v>
      </c>
    </row>
    <row r="4">
      <c r="A4" s="1" t="s">
        <v>32</v>
      </c>
      <c r="B4" s="3">
        <v>45662.0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37</v>
      </c>
      <c r="H4" s="1">
        <v>180000.0</v>
      </c>
      <c r="I4" s="1">
        <v>2.0</v>
      </c>
      <c r="J4" s="1">
        <v>10.0</v>
      </c>
      <c r="K4" s="1">
        <v>324000.0</v>
      </c>
      <c r="L4" s="1" t="s">
        <v>22</v>
      </c>
      <c r="M4" s="1" t="s">
        <v>23</v>
      </c>
      <c r="N4" s="1">
        <v>4.0</v>
      </c>
      <c r="O4" s="1" t="s">
        <v>24</v>
      </c>
      <c r="P4" s="2" t="str">
        <f>IFERROR(__xludf.DUMMYFUNCTION("QUERY(A1:O31,""SELECT D,SUM(K) GROUP BY D ORDER BY SUM(K) DESC"")"),"Customer_Name")</f>
        <v>Customer_Name</v>
      </c>
      <c r="Q4" s="2" t="str">
        <f>IFERROR(__xludf.DUMMYFUNCTION("""COMPUTED_VALUE"""),"sum Total_Amount")</f>
        <v>sum Total_Amount</v>
      </c>
      <c r="R4" s="2" t="str">
        <f>IFERROR(__xludf.DUMMYFUNCTION("QUERY(A1:O36,""SELECT G,SUM(I)GROUP BY G ORDER BY SUM (I) DESC"")"),"Product_Name")</f>
        <v>Product_Name</v>
      </c>
      <c r="S4" s="2" t="str">
        <f>IFERROR(__xludf.DUMMYFUNCTION("""COMPUTED_VALUE"""),"sum Quantity")</f>
        <v>sum Quantity</v>
      </c>
      <c r="T4" s="2" t="str">
        <f>IFERROR(__xludf.DUMMYFUNCTION("QUERY(A1:O30,""SELECT E, SUM(I) GROUP BY E ORDER BY SUM(I) DESC"")"),"State")</f>
        <v>State</v>
      </c>
      <c r="U4" s="2" t="str">
        <f>IFERROR(__xludf.DUMMYFUNCTION("""COMPUTED_VALUE"""),"sum Quantity")</f>
        <v>sum Quantity</v>
      </c>
      <c r="V4" s="2" t="str">
        <f>IFERROR(__xludf.DUMMYFUNCTION("QUERY(A1:O30,""SELECT G, SUM(J) GROUP BY G ORDER BY SUM(J) DESC"")"),"Product_Name")</f>
        <v>Product_Name</v>
      </c>
      <c r="W4" s="2" t="str">
        <f>IFERROR(__xludf.DUMMYFUNCTION("""COMPUTED_VALUE"""),"sum Discount_%")</f>
        <v>sum Discount_%</v>
      </c>
      <c r="X4" s="2" t="str">
        <f>IFERROR(__xludf.DUMMYFUNCTION("QUERY(A1:O35,""SELECT E,SUM(K) GROUP BY E ORDER BY SUM(K) DESC"")"),"State")</f>
        <v>State</v>
      </c>
      <c r="Y4" s="2" t="str">
        <f>IFERROR(__xludf.DUMMYFUNCTION("""COMPUTED_VALUE"""),"sum Total_Amount")</f>
        <v>sum Total_Amount</v>
      </c>
      <c r="Z4" s="2" t="str">
        <f>IFERROR(__xludf.DUMMYFUNCTION("QUERY(A1:O35,""SELECT G,SUM(N) GROUP BY G ORDER BY SUM(N) DESC"")"),"Product_Name")</f>
        <v>Product_Name</v>
      </c>
      <c r="AA4" s="2" t="str">
        <f>IFERROR(__xludf.DUMMYFUNCTION("""COMPUTED_VALUE"""),"sum Delivery_Days")</f>
        <v>sum Delivery_Days</v>
      </c>
      <c r="AC4" s="2" t="str">
        <f>IFERROR(__xludf.DUMMYFUNCTION("QUERY(A1:O35,""SELECT * LIMIT 8"")"),"Order_ID")</f>
        <v>Order_ID</v>
      </c>
      <c r="AD4" s="2" t="str">
        <f>IFERROR(__xludf.DUMMYFUNCTION("""COMPUTED_VALUE"""),"Order_Date")</f>
        <v>Order_Date</v>
      </c>
      <c r="AE4" s="2" t="str">
        <f>IFERROR(__xludf.DUMMYFUNCTION("""COMPUTED_VALUE"""),"Customer_ID")</f>
        <v>Customer_ID</v>
      </c>
      <c r="AF4" s="2" t="str">
        <f>IFERROR(__xludf.DUMMYFUNCTION("""COMPUTED_VALUE"""),"Customer_Name")</f>
        <v>Customer_Name</v>
      </c>
      <c r="AG4" s="2" t="str">
        <f>IFERROR(__xludf.DUMMYFUNCTION("""COMPUTED_VALUE"""),"State")</f>
        <v>State</v>
      </c>
      <c r="AH4" s="2" t="str">
        <f>IFERROR(__xludf.DUMMYFUNCTION("""COMPUTED_VALUE"""),"Product_Category")</f>
        <v>Product_Category</v>
      </c>
      <c r="AI4" s="2" t="str">
        <f>IFERROR(__xludf.DUMMYFUNCTION("""COMPUTED_VALUE"""),"Product_Name")</f>
        <v>Product_Name</v>
      </c>
      <c r="AJ4" s="2" t="str">
        <f>IFERROR(__xludf.DUMMYFUNCTION("""COMPUTED_VALUE"""),"Unit_Price")</f>
        <v>Unit_Price</v>
      </c>
      <c r="AK4" s="2" t="str">
        <f>IFERROR(__xludf.DUMMYFUNCTION("""COMPUTED_VALUE"""),"Quantity")</f>
        <v>Quantity</v>
      </c>
      <c r="AL4" s="2" t="str">
        <f>IFERROR(__xludf.DUMMYFUNCTION("""COMPUTED_VALUE"""),"Discount_%")</f>
        <v>Discount_%</v>
      </c>
      <c r="AM4" s="2" t="str">
        <f>IFERROR(__xludf.DUMMYFUNCTION("""COMPUTED_VALUE"""),"Total_Amount")</f>
        <v>Total_Amount</v>
      </c>
      <c r="AN4" s="2" t="str">
        <f>IFERROR(__xludf.DUMMYFUNCTION("""COMPUTED_VALUE"""),"Payment_Method")</f>
        <v>Payment_Method</v>
      </c>
      <c r="AO4" s="2" t="str">
        <f>IFERROR(__xludf.DUMMYFUNCTION("""COMPUTED_VALUE"""),"Delivery_Status")</f>
        <v>Delivery_Status</v>
      </c>
      <c r="AP4" s="2" t="str">
        <f>IFERROR(__xludf.DUMMYFUNCTION("""COMPUTED_VALUE"""),"Delivery_Days")</f>
        <v>Delivery_Days</v>
      </c>
      <c r="AQ4" s="2" t="str">
        <f>IFERROR(__xludf.DUMMYFUNCTION("""COMPUTED_VALUE"""),"Returned")</f>
        <v>Returned</v>
      </c>
      <c r="AR4" s="2" t="str">
        <f>IFERROR(__xludf.DUMMYFUNCTION("QUERY(A1:O35,""SELECT * LIMIT 7"")"),"Order_ID")</f>
        <v>Order_ID</v>
      </c>
      <c r="AS4" s="2" t="str">
        <f>IFERROR(__xludf.DUMMYFUNCTION("""COMPUTED_VALUE"""),"Order_Date")</f>
        <v>Order_Date</v>
      </c>
      <c r="AT4" s="2" t="str">
        <f>IFERROR(__xludf.DUMMYFUNCTION("""COMPUTED_VALUE"""),"Customer_ID")</f>
        <v>Customer_ID</v>
      </c>
      <c r="AU4" s="2" t="str">
        <f>IFERROR(__xludf.DUMMYFUNCTION("""COMPUTED_VALUE"""),"Customer_Name")</f>
        <v>Customer_Name</v>
      </c>
      <c r="AV4" s="2" t="str">
        <f>IFERROR(__xludf.DUMMYFUNCTION("""COMPUTED_VALUE"""),"State")</f>
        <v>State</v>
      </c>
      <c r="AW4" s="2" t="str">
        <f>IFERROR(__xludf.DUMMYFUNCTION("""COMPUTED_VALUE"""),"Product_Category")</f>
        <v>Product_Category</v>
      </c>
      <c r="AX4" s="2" t="str">
        <f>IFERROR(__xludf.DUMMYFUNCTION("""COMPUTED_VALUE"""),"Product_Name")</f>
        <v>Product_Name</v>
      </c>
      <c r="AY4" s="2" t="str">
        <f>IFERROR(__xludf.DUMMYFUNCTION("""COMPUTED_VALUE"""),"Unit_Price")</f>
        <v>Unit_Price</v>
      </c>
      <c r="AZ4" s="2" t="str">
        <f>IFERROR(__xludf.DUMMYFUNCTION("""COMPUTED_VALUE"""),"Quantity")</f>
        <v>Quantity</v>
      </c>
      <c r="BA4" s="2" t="str">
        <f>IFERROR(__xludf.DUMMYFUNCTION("""COMPUTED_VALUE"""),"Discount_%")</f>
        <v>Discount_%</v>
      </c>
      <c r="BB4" s="2" t="str">
        <f>IFERROR(__xludf.DUMMYFUNCTION("""COMPUTED_VALUE"""),"Total_Amount")</f>
        <v>Total_Amount</v>
      </c>
      <c r="BC4" s="2" t="str">
        <f>IFERROR(__xludf.DUMMYFUNCTION("""COMPUTED_VALUE"""),"Payment_Method")</f>
        <v>Payment_Method</v>
      </c>
      <c r="BD4" s="2" t="str">
        <f>IFERROR(__xludf.DUMMYFUNCTION("""COMPUTED_VALUE"""),"Delivery_Status")</f>
        <v>Delivery_Status</v>
      </c>
      <c r="BE4" s="2" t="str">
        <f>IFERROR(__xludf.DUMMYFUNCTION("""COMPUTED_VALUE"""),"Delivery_Days")</f>
        <v>Delivery_Days</v>
      </c>
      <c r="BF4" s="2" t="str">
        <f>IFERROR(__xludf.DUMMYFUNCTION("""COMPUTED_VALUE"""),"Returned")</f>
        <v>Returned</v>
      </c>
    </row>
    <row r="5">
      <c r="A5" s="1" t="s">
        <v>38</v>
      </c>
      <c r="B5" s="3">
        <v>45662.0</v>
      </c>
      <c r="C5" s="1" t="s">
        <v>39</v>
      </c>
      <c r="D5" s="1" t="s">
        <v>40</v>
      </c>
      <c r="E5" s="1" t="s">
        <v>19</v>
      </c>
      <c r="F5" s="1" t="s">
        <v>20</v>
      </c>
      <c r="G5" s="1" t="s">
        <v>41</v>
      </c>
      <c r="H5" s="1">
        <v>780000.0</v>
      </c>
      <c r="I5" s="1">
        <v>1.0</v>
      </c>
      <c r="J5" s="1">
        <v>0.0</v>
      </c>
      <c r="K5" s="1">
        <v>780000.0</v>
      </c>
      <c r="L5" s="1" t="s">
        <v>42</v>
      </c>
      <c r="M5" s="1" t="s">
        <v>43</v>
      </c>
      <c r="N5" s="1">
        <v>0.0</v>
      </c>
      <c r="O5" s="1" t="s">
        <v>24</v>
      </c>
      <c r="P5" s="2" t="str">
        <f>IFERROR(__xludf.DUMMYFUNCTION("""COMPUTED_VALUE"""),"Grace James")</f>
        <v>Grace James</v>
      </c>
      <c r="Q5" s="2">
        <f>IFERROR(__xludf.DUMMYFUNCTION("""COMPUTED_VALUE"""),1212500.0)</f>
        <v>1212500</v>
      </c>
      <c r="R5" s="2" t="str">
        <f>IFERROR(__xludf.DUMMYFUNCTION("""COMPUTED_VALUE"""),"Phone Case")</f>
        <v>Phone Case</v>
      </c>
      <c r="S5" s="2">
        <f>IFERROR(__xludf.DUMMYFUNCTION("""COMPUTED_VALUE"""),7.0)</f>
        <v>7</v>
      </c>
      <c r="T5" s="2" t="str">
        <f>IFERROR(__xludf.DUMMYFUNCTION("""COMPUTED_VALUE"""),"Lagos")</f>
        <v>Lagos</v>
      </c>
      <c r="U5" s="2">
        <f>IFERROR(__xludf.DUMMYFUNCTION("""COMPUTED_VALUE"""),15.0)</f>
        <v>15</v>
      </c>
      <c r="V5" s="2" t="str">
        <f>IFERROR(__xludf.DUMMYFUNCTION("""COMPUTED_VALUE"""),"Airpods Pro")</f>
        <v>Airpods Pro</v>
      </c>
      <c r="W5" s="2">
        <f>IFERROR(__xludf.DUMMYFUNCTION("""COMPUTED_VALUE"""),15.0)</f>
        <v>15</v>
      </c>
      <c r="X5" s="2" t="str">
        <f>IFERROR(__xludf.DUMMYFUNCTION("""COMPUTED_VALUE"""),"Lagos")</f>
        <v>Lagos</v>
      </c>
      <c r="Y5" s="2">
        <f>IFERROR(__xludf.DUMMYFUNCTION("""COMPUTED_VALUE"""),5628500.0)</f>
        <v>5628500</v>
      </c>
      <c r="Z5" s="2" t="str">
        <f>IFERROR(__xludf.DUMMYFUNCTION("""COMPUTED_VALUE"""),"Macbook Air M2")</f>
        <v>Macbook Air M2</v>
      </c>
      <c r="AA5" s="2">
        <f>IFERROR(__xludf.DUMMYFUNCTION("""COMPUTED_VALUE"""),15.0)</f>
        <v>15</v>
      </c>
      <c r="AC5" s="2" t="str">
        <f>IFERROR(__xludf.DUMMYFUNCTION("""COMPUTED_VALUE"""),"ORD1001")</f>
        <v>ORD1001</v>
      </c>
      <c r="AD5" s="4">
        <f>IFERROR(__xludf.DUMMYFUNCTION("""COMPUTED_VALUE"""),45660.0)</f>
        <v>45660</v>
      </c>
      <c r="AE5" s="2" t="str">
        <f>IFERROR(__xludf.DUMMYFUNCTION("""COMPUTED_VALUE"""),"C001")</f>
        <v>C001</v>
      </c>
      <c r="AF5" s="2" t="str">
        <f>IFERROR(__xludf.DUMMYFUNCTION("""COMPUTED_VALUE"""),"Musa Abubakar")</f>
        <v>Musa Abubakar</v>
      </c>
      <c r="AG5" s="2" t="str">
        <f>IFERROR(__xludf.DUMMYFUNCTION("""COMPUTED_VALUE"""),"Lagos")</f>
        <v>Lagos</v>
      </c>
      <c r="AH5" s="2" t="str">
        <f>IFERROR(__xludf.DUMMYFUNCTION("""COMPUTED_VALUE"""),"Phone")</f>
        <v>Phone</v>
      </c>
      <c r="AI5" s="2" t="str">
        <f>IFERROR(__xludf.DUMMYFUNCTION("""COMPUTED_VALUE"""),"iPhone 13")</f>
        <v>iPhone 13</v>
      </c>
      <c r="AJ5" s="2">
        <f>IFERROR(__xludf.DUMMYFUNCTION("""COMPUTED_VALUE"""),850000.0)</f>
        <v>850000</v>
      </c>
      <c r="AK5" s="2">
        <f>IFERROR(__xludf.DUMMYFUNCTION("""COMPUTED_VALUE"""),1.0)</f>
        <v>1</v>
      </c>
      <c r="AL5" s="2">
        <f>IFERROR(__xludf.DUMMYFUNCTION("""COMPUTED_VALUE"""),5.0)</f>
        <v>5</v>
      </c>
      <c r="AM5" s="2">
        <f>IFERROR(__xludf.DUMMYFUNCTION("""COMPUTED_VALUE"""),807500.0)</f>
        <v>807500</v>
      </c>
      <c r="AN5" s="2" t="str">
        <f>IFERROR(__xludf.DUMMYFUNCTION("""COMPUTED_VALUE"""),"Card")</f>
        <v>Card</v>
      </c>
      <c r="AO5" s="2" t="str">
        <f>IFERROR(__xludf.DUMMYFUNCTION("""COMPUTED_VALUE"""),"Delivered")</f>
        <v>Delivered</v>
      </c>
      <c r="AP5" s="2">
        <f>IFERROR(__xludf.DUMMYFUNCTION("""COMPUTED_VALUE"""),3.0)</f>
        <v>3</v>
      </c>
      <c r="AQ5" s="2" t="str">
        <f>IFERROR(__xludf.DUMMYFUNCTION("""COMPUTED_VALUE"""),"No")</f>
        <v>No</v>
      </c>
      <c r="AR5" s="2" t="str">
        <f>IFERROR(__xludf.DUMMYFUNCTION("""COMPUTED_VALUE"""),"ORD1001")</f>
        <v>ORD1001</v>
      </c>
      <c r="AS5" s="4">
        <f>IFERROR(__xludf.DUMMYFUNCTION("""COMPUTED_VALUE"""),45660.0)</f>
        <v>45660</v>
      </c>
      <c r="AT5" s="2" t="str">
        <f>IFERROR(__xludf.DUMMYFUNCTION("""COMPUTED_VALUE"""),"C001")</f>
        <v>C001</v>
      </c>
      <c r="AU5" s="2" t="str">
        <f>IFERROR(__xludf.DUMMYFUNCTION("""COMPUTED_VALUE"""),"Musa Abubakar")</f>
        <v>Musa Abubakar</v>
      </c>
      <c r="AV5" s="2" t="str">
        <f>IFERROR(__xludf.DUMMYFUNCTION("""COMPUTED_VALUE"""),"Lagos")</f>
        <v>Lagos</v>
      </c>
      <c r="AW5" s="2" t="str">
        <f>IFERROR(__xludf.DUMMYFUNCTION("""COMPUTED_VALUE"""),"Phone")</f>
        <v>Phone</v>
      </c>
      <c r="AX5" s="2" t="str">
        <f>IFERROR(__xludf.DUMMYFUNCTION("""COMPUTED_VALUE"""),"iPhone 13")</f>
        <v>iPhone 13</v>
      </c>
      <c r="AY5" s="2">
        <f>IFERROR(__xludf.DUMMYFUNCTION("""COMPUTED_VALUE"""),850000.0)</f>
        <v>850000</v>
      </c>
      <c r="AZ5" s="2">
        <f>IFERROR(__xludf.DUMMYFUNCTION("""COMPUTED_VALUE"""),1.0)</f>
        <v>1</v>
      </c>
      <c r="BA5" s="2">
        <f>IFERROR(__xludf.DUMMYFUNCTION("""COMPUTED_VALUE"""),5.0)</f>
        <v>5</v>
      </c>
      <c r="BB5" s="2">
        <f>IFERROR(__xludf.DUMMYFUNCTION("""COMPUTED_VALUE"""),807500.0)</f>
        <v>807500</v>
      </c>
      <c r="BC5" s="2" t="str">
        <f>IFERROR(__xludf.DUMMYFUNCTION("""COMPUTED_VALUE"""),"Card")</f>
        <v>Card</v>
      </c>
      <c r="BD5" s="2" t="str">
        <f>IFERROR(__xludf.DUMMYFUNCTION("""COMPUTED_VALUE"""),"Delivered")</f>
        <v>Delivered</v>
      </c>
      <c r="BE5" s="2">
        <f>IFERROR(__xludf.DUMMYFUNCTION("""COMPUTED_VALUE"""),3.0)</f>
        <v>3</v>
      </c>
      <c r="BF5" s="2" t="str">
        <f>IFERROR(__xludf.DUMMYFUNCTION("""COMPUTED_VALUE"""),"No")</f>
        <v>No</v>
      </c>
    </row>
    <row r="6">
      <c r="A6" s="1" t="s">
        <v>44</v>
      </c>
      <c r="B6" s="3">
        <v>45663.0</v>
      </c>
      <c r="C6" s="1" t="s">
        <v>26</v>
      </c>
      <c r="D6" s="1" t="s">
        <v>27</v>
      </c>
      <c r="E6" s="1" t="s">
        <v>28</v>
      </c>
      <c r="F6" s="1" t="s">
        <v>36</v>
      </c>
      <c r="G6" s="1" t="s">
        <v>45</v>
      </c>
      <c r="H6" s="1">
        <v>25000.0</v>
      </c>
      <c r="I6" s="1">
        <v>3.0</v>
      </c>
      <c r="J6" s="1">
        <v>0.0</v>
      </c>
      <c r="K6" s="1">
        <v>75000.0</v>
      </c>
      <c r="L6" s="1" t="s">
        <v>31</v>
      </c>
      <c r="M6" s="1" t="s">
        <v>23</v>
      </c>
      <c r="N6" s="1">
        <v>2.0</v>
      </c>
      <c r="O6" s="1" t="s">
        <v>24</v>
      </c>
      <c r="P6" s="2" t="str">
        <f>IFERROR(__xludf.DUMMYFUNCTION("""COMPUTED_VALUE"""),"Segun Adebayo")</f>
        <v>Segun Adebayo</v>
      </c>
      <c r="Q6" s="2">
        <f>IFERROR(__xludf.DUMMYFUNCTION("""COMPUTED_VALUE"""),1187500.0)</f>
        <v>1187500</v>
      </c>
      <c r="R6" s="2" t="str">
        <f>IFERROR(__xludf.DUMMYFUNCTION("""COMPUTED_VALUE"""),"Airpods Pro")</f>
        <v>Airpods Pro</v>
      </c>
      <c r="S6" s="2">
        <f>IFERROR(__xludf.DUMMYFUNCTION("""COMPUTED_VALUE"""),4.0)</f>
        <v>4</v>
      </c>
      <c r="T6" s="2" t="str">
        <f>IFERROR(__xludf.DUMMYFUNCTION("""COMPUTED_VALUE"""),"Abuja")</f>
        <v>Abuja</v>
      </c>
      <c r="U6" s="2">
        <f>IFERROR(__xludf.DUMMYFUNCTION("""COMPUTED_VALUE"""),7.0)</f>
        <v>7</v>
      </c>
      <c r="V6" s="2" t="str">
        <f>IFERROR(__xludf.DUMMYFUNCTION("""COMPUTED_VALUE"""),"Dell inspiron")</f>
        <v>Dell inspiron</v>
      </c>
      <c r="W6" s="2">
        <f>IFERROR(__xludf.DUMMYFUNCTION("""COMPUTED_VALUE"""),15.0)</f>
        <v>15</v>
      </c>
      <c r="X6" s="2" t="str">
        <f>IFERROR(__xludf.DUMMYFUNCTION("""COMPUTED_VALUE"""),"Abuja")</f>
        <v>Abuja</v>
      </c>
      <c r="Y6" s="2">
        <f>IFERROR(__xludf.DUMMYFUNCTION("""COMPUTED_VALUE"""),2410000.0)</f>
        <v>2410000</v>
      </c>
      <c r="Z6" s="2" t="str">
        <f>IFERROR(__xludf.DUMMYFUNCTION("""COMPUTED_VALUE"""),"HP Pavilion 15")</f>
        <v>HP Pavilion 15</v>
      </c>
      <c r="AA6" s="2">
        <f>IFERROR(__xludf.DUMMYFUNCTION("""COMPUTED_VALUE"""),11.0)</f>
        <v>11</v>
      </c>
      <c r="AC6" s="2" t="str">
        <f>IFERROR(__xludf.DUMMYFUNCTION("""COMPUTED_VALUE"""),"ORD1002")</f>
        <v>ORD1002</v>
      </c>
      <c r="AD6" s="4">
        <f>IFERROR(__xludf.DUMMYFUNCTION("""COMPUTED_VALUE"""),45661.0)</f>
        <v>45661</v>
      </c>
      <c r="AE6" s="2" t="str">
        <f>IFERROR(__xludf.DUMMYFUNCTION("""COMPUTED_VALUE"""),"C002")</f>
        <v>C002</v>
      </c>
      <c r="AF6" s="2" t="str">
        <f>IFERROR(__xludf.DUMMYFUNCTION("""COMPUTED_VALUE"""),"Chinedu Okafor")</f>
        <v>Chinedu Okafor</v>
      </c>
      <c r="AG6" s="2" t="str">
        <f>IFERROR(__xludf.DUMMYFUNCTION("""COMPUTED_VALUE"""),"Abuja")</f>
        <v>Abuja</v>
      </c>
      <c r="AH6" s="2" t="str">
        <f>IFERROR(__xludf.DUMMYFUNCTION("""COMPUTED_VALUE"""),"Laptop")</f>
        <v>Laptop</v>
      </c>
      <c r="AI6" s="2" t="str">
        <f>IFERROR(__xludf.DUMMYFUNCTION("""COMPUTED_VALUE"""),"HP Pavilion 15")</f>
        <v>HP Pavilion 15</v>
      </c>
      <c r="AJ6" s="2">
        <f>IFERROR(__xludf.DUMMYFUNCTION("""COMPUTED_VALUE"""),620000.0)</f>
        <v>620000</v>
      </c>
      <c r="AK6" s="2">
        <f>IFERROR(__xludf.DUMMYFUNCTION("""COMPUTED_VALUE"""),1.0)</f>
        <v>1</v>
      </c>
      <c r="AL6" s="2">
        <f>IFERROR(__xludf.DUMMYFUNCTION("""COMPUTED_VALUE"""),0.0)</f>
        <v>0</v>
      </c>
      <c r="AM6" s="2">
        <f>IFERROR(__xludf.DUMMYFUNCTION("""COMPUTED_VALUE"""),620000.0)</f>
        <v>620000</v>
      </c>
      <c r="AN6" s="2" t="str">
        <f>IFERROR(__xludf.DUMMYFUNCTION("""COMPUTED_VALUE"""),"Bank  Transfer")</f>
        <v>Bank  Transfer</v>
      </c>
      <c r="AO6" s="2" t="str">
        <f>IFERROR(__xludf.DUMMYFUNCTION("""COMPUTED_VALUE"""),"Delivered")</f>
        <v>Delivered</v>
      </c>
      <c r="AP6" s="2">
        <f>IFERROR(__xludf.DUMMYFUNCTION("""COMPUTED_VALUE"""),5.0)</f>
        <v>5</v>
      </c>
      <c r="AQ6" s="2" t="str">
        <f>IFERROR(__xludf.DUMMYFUNCTION("""COMPUTED_VALUE"""),"No")</f>
        <v>No</v>
      </c>
      <c r="AR6" s="2" t="str">
        <f>IFERROR(__xludf.DUMMYFUNCTION("""COMPUTED_VALUE"""),"ORD1002")</f>
        <v>ORD1002</v>
      </c>
      <c r="AS6" s="4">
        <f>IFERROR(__xludf.DUMMYFUNCTION("""COMPUTED_VALUE"""),45661.0)</f>
        <v>45661</v>
      </c>
      <c r="AT6" s="2" t="str">
        <f>IFERROR(__xludf.DUMMYFUNCTION("""COMPUTED_VALUE"""),"C002")</f>
        <v>C002</v>
      </c>
      <c r="AU6" s="2" t="str">
        <f>IFERROR(__xludf.DUMMYFUNCTION("""COMPUTED_VALUE"""),"Chinedu Okafor")</f>
        <v>Chinedu Okafor</v>
      </c>
      <c r="AV6" s="2" t="str">
        <f>IFERROR(__xludf.DUMMYFUNCTION("""COMPUTED_VALUE"""),"Abuja")</f>
        <v>Abuja</v>
      </c>
      <c r="AW6" s="2" t="str">
        <f>IFERROR(__xludf.DUMMYFUNCTION("""COMPUTED_VALUE"""),"Laptop")</f>
        <v>Laptop</v>
      </c>
      <c r="AX6" s="2" t="str">
        <f>IFERROR(__xludf.DUMMYFUNCTION("""COMPUTED_VALUE"""),"HP Pavilion 15")</f>
        <v>HP Pavilion 15</v>
      </c>
      <c r="AY6" s="2">
        <f>IFERROR(__xludf.DUMMYFUNCTION("""COMPUTED_VALUE"""),620000.0)</f>
        <v>620000</v>
      </c>
      <c r="AZ6" s="2">
        <f>IFERROR(__xludf.DUMMYFUNCTION("""COMPUTED_VALUE"""),1.0)</f>
        <v>1</v>
      </c>
      <c r="BA6" s="2">
        <f>IFERROR(__xludf.DUMMYFUNCTION("""COMPUTED_VALUE"""),0.0)</f>
        <v>0</v>
      </c>
      <c r="BB6" s="2">
        <f>IFERROR(__xludf.DUMMYFUNCTION("""COMPUTED_VALUE"""),620000.0)</f>
        <v>620000</v>
      </c>
      <c r="BC6" s="2" t="str">
        <f>IFERROR(__xludf.DUMMYFUNCTION("""COMPUTED_VALUE"""),"Bank  Transfer")</f>
        <v>Bank  Transfer</v>
      </c>
      <c r="BD6" s="2" t="str">
        <f>IFERROR(__xludf.DUMMYFUNCTION("""COMPUTED_VALUE"""),"Delivered")</f>
        <v>Delivered</v>
      </c>
      <c r="BE6" s="2">
        <f>IFERROR(__xludf.DUMMYFUNCTION("""COMPUTED_VALUE"""),5.0)</f>
        <v>5</v>
      </c>
      <c r="BF6" s="2" t="str">
        <f>IFERROR(__xludf.DUMMYFUNCTION("""COMPUTED_VALUE"""),"No")</f>
        <v>No</v>
      </c>
    </row>
    <row r="7">
      <c r="A7" s="1" t="s">
        <v>46</v>
      </c>
      <c r="B7" s="3">
        <v>45664.0</v>
      </c>
      <c r="C7" s="1" t="s">
        <v>47</v>
      </c>
      <c r="D7" s="1" t="s">
        <v>48</v>
      </c>
      <c r="E7" s="1" t="s">
        <v>49</v>
      </c>
      <c r="F7" s="1" t="s">
        <v>20</v>
      </c>
      <c r="G7" s="1" t="s">
        <v>50</v>
      </c>
      <c r="H7" s="1">
        <v>950000.0</v>
      </c>
      <c r="I7" s="1">
        <v>1.0</v>
      </c>
      <c r="J7" s="1">
        <v>7.0</v>
      </c>
      <c r="K7" s="1">
        <v>883500.0</v>
      </c>
      <c r="L7" s="1" t="s">
        <v>22</v>
      </c>
      <c r="M7" s="1" t="s">
        <v>23</v>
      </c>
      <c r="N7" s="1">
        <v>6.0</v>
      </c>
      <c r="O7" s="1" t="s">
        <v>51</v>
      </c>
      <c r="P7" s="2" t="str">
        <f>IFERROR(__xludf.DUMMYFUNCTION("""COMPUTED_VALUE"""),"Esther Obi")</f>
        <v>Esther Obi</v>
      </c>
      <c r="Q7" s="2">
        <f>IFERROR(__xludf.DUMMYFUNCTION("""COMPUTED_VALUE"""),972000.0)</f>
        <v>972000</v>
      </c>
      <c r="R7" s="2" t="str">
        <f>IFERROR(__xludf.DUMMYFUNCTION("""COMPUTED_VALUE"""),"Logitech Mouse")</f>
        <v>Logitech Mouse</v>
      </c>
      <c r="S7" s="2">
        <f>IFERROR(__xludf.DUMMYFUNCTION("""COMPUTED_VALUE"""),4.0)</f>
        <v>4</v>
      </c>
      <c r="T7" s="2" t="str">
        <f>IFERROR(__xludf.DUMMYFUNCTION("""COMPUTED_VALUE"""),"Kano")</f>
        <v>Kano</v>
      </c>
      <c r="U7" s="2">
        <f>IFERROR(__xludf.DUMMYFUNCTION("""COMPUTED_VALUE"""),6.0)</f>
        <v>6</v>
      </c>
      <c r="V7" s="2" t="str">
        <f>IFERROR(__xludf.DUMMYFUNCTION("""COMPUTED_VALUE"""),"Samsung A54")</f>
        <v>Samsung A54</v>
      </c>
      <c r="W7" s="2">
        <f>IFERROR(__xludf.DUMMYFUNCTION("""COMPUTED_VALUE"""),10.0)</f>
        <v>10</v>
      </c>
      <c r="X7" s="2" t="str">
        <f>IFERROR(__xludf.DUMMYFUNCTION("""COMPUTED_VALUE"""),"Kaduna")</f>
        <v>Kaduna</v>
      </c>
      <c r="Y7" s="2">
        <f>IFERROR(__xludf.DUMMYFUNCTION("""COMPUTED_VALUE"""),1975500.0)</f>
        <v>1975500</v>
      </c>
      <c r="Z7" s="2" t="str">
        <f>IFERROR(__xludf.DUMMYFUNCTION("""COMPUTED_VALUE"""),"Lenovo Thinkpad")</f>
        <v>Lenovo Thinkpad</v>
      </c>
      <c r="AA7" s="2">
        <f>IFERROR(__xludf.DUMMYFUNCTION("""COMPUTED_VALUE"""),11.0)</f>
        <v>11</v>
      </c>
      <c r="AC7" s="2" t="str">
        <f>IFERROR(__xludf.DUMMYFUNCTION("""COMPUTED_VALUE"""),"ORD1003")</f>
        <v>ORD1003</v>
      </c>
      <c r="AD7" s="4">
        <f>IFERROR(__xludf.DUMMYFUNCTION("""COMPUTED_VALUE"""),45662.0)</f>
        <v>45662</v>
      </c>
      <c r="AE7" s="2" t="str">
        <f>IFERROR(__xludf.DUMMYFUNCTION("""COMPUTED_VALUE"""),"C003")</f>
        <v>C003</v>
      </c>
      <c r="AF7" s="2" t="str">
        <f>IFERROR(__xludf.DUMMYFUNCTION("""COMPUTED_VALUE"""),"Fatima Bello")</f>
        <v>Fatima Bello</v>
      </c>
      <c r="AG7" s="2" t="str">
        <f>IFERROR(__xludf.DUMMYFUNCTION("""COMPUTED_VALUE"""),"Kano")</f>
        <v>Kano</v>
      </c>
      <c r="AH7" s="2" t="str">
        <f>IFERROR(__xludf.DUMMYFUNCTION("""COMPUTED_VALUE"""),"Accessory")</f>
        <v>Accessory</v>
      </c>
      <c r="AI7" s="2" t="str">
        <f>IFERROR(__xludf.DUMMYFUNCTION("""COMPUTED_VALUE"""),"Airpods Pro")</f>
        <v>Airpods Pro</v>
      </c>
      <c r="AJ7" s="2">
        <f>IFERROR(__xludf.DUMMYFUNCTION("""COMPUTED_VALUE"""),180000.0)</f>
        <v>180000</v>
      </c>
      <c r="AK7" s="2">
        <f>IFERROR(__xludf.DUMMYFUNCTION("""COMPUTED_VALUE"""),2.0)</f>
        <v>2</v>
      </c>
      <c r="AL7" s="2">
        <f>IFERROR(__xludf.DUMMYFUNCTION("""COMPUTED_VALUE"""),10.0)</f>
        <v>10</v>
      </c>
      <c r="AM7" s="2">
        <f>IFERROR(__xludf.DUMMYFUNCTION("""COMPUTED_VALUE"""),324000.0)</f>
        <v>324000</v>
      </c>
      <c r="AN7" s="2" t="str">
        <f>IFERROR(__xludf.DUMMYFUNCTION("""COMPUTED_VALUE"""),"Card")</f>
        <v>Card</v>
      </c>
      <c r="AO7" s="2" t="str">
        <f>IFERROR(__xludf.DUMMYFUNCTION("""COMPUTED_VALUE"""),"Delivered")</f>
        <v>Delivered</v>
      </c>
      <c r="AP7" s="2">
        <f>IFERROR(__xludf.DUMMYFUNCTION("""COMPUTED_VALUE"""),4.0)</f>
        <v>4</v>
      </c>
      <c r="AQ7" s="2" t="str">
        <f>IFERROR(__xludf.DUMMYFUNCTION("""COMPUTED_VALUE"""),"No")</f>
        <v>No</v>
      </c>
      <c r="AR7" s="2" t="str">
        <f>IFERROR(__xludf.DUMMYFUNCTION("""COMPUTED_VALUE"""),"ORD1003")</f>
        <v>ORD1003</v>
      </c>
      <c r="AS7" s="4">
        <f>IFERROR(__xludf.DUMMYFUNCTION("""COMPUTED_VALUE"""),45662.0)</f>
        <v>45662</v>
      </c>
      <c r="AT7" s="2" t="str">
        <f>IFERROR(__xludf.DUMMYFUNCTION("""COMPUTED_VALUE"""),"C003")</f>
        <v>C003</v>
      </c>
      <c r="AU7" s="2" t="str">
        <f>IFERROR(__xludf.DUMMYFUNCTION("""COMPUTED_VALUE"""),"Fatima Bello")</f>
        <v>Fatima Bello</v>
      </c>
      <c r="AV7" s="2" t="str">
        <f>IFERROR(__xludf.DUMMYFUNCTION("""COMPUTED_VALUE"""),"Kano")</f>
        <v>Kano</v>
      </c>
      <c r="AW7" s="2" t="str">
        <f>IFERROR(__xludf.DUMMYFUNCTION("""COMPUTED_VALUE"""),"Accessory")</f>
        <v>Accessory</v>
      </c>
      <c r="AX7" s="2" t="str">
        <f>IFERROR(__xludf.DUMMYFUNCTION("""COMPUTED_VALUE"""),"Airpods Pro")</f>
        <v>Airpods Pro</v>
      </c>
      <c r="AY7" s="2">
        <f>IFERROR(__xludf.DUMMYFUNCTION("""COMPUTED_VALUE"""),180000.0)</f>
        <v>180000</v>
      </c>
      <c r="AZ7" s="2">
        <f>IFERROR(__xludf.DUMMYFUNCTION("""COMPUTED_VALUE"""),2.0)</f>
        <v>2</v>
      </c>
      <c r="BA7" s="2">
        <f>IFERROR(__xludf.DUMMYFUNCTION("""COMPUTED_VALUE"""),10.0)</f>
        <v>10</v>
      </c>
      <c r="BB7" s="2">
        <f>IFERROR(__xludf.DUMMYFUNCTION("""COMPUTED_VALUE"""),324000.0)</f>
        <v>324000</v>
      </c>
      <c r="BC7" s="2" t="str">
        <f>IFERROR(__xludf.DUMMYFUNCTION("""COMPUTED_VALUE"""),"Card")</f>
        <v>Card</v>
      </c>
      <c r="BD7" s="2" t="str">
        <f>IFERROR(__xludf.DUMMYFUNCTION("""COMPUTED_VALUE"""),"Delivered")</f>
        <v>Delivered</v>
      </c>
      <c r="BE7" s="2">
        <f>IFERROR(__xludf.DUMMYFUNCTION("""COMPUTED_VALUE"""),4.0)</f>
        <v>4</v>
      </c>
      <c r="BF7" s="2" t="str">
        <f>IFERROR(__xludf.DUMMYFUNCTION("""COMPUTED_VALUE"""),"No")</f>
        <v>No</v>
      </c>
    </row>
    <row r="8">
      <c r="A8" s="1" t="s">
        <v>52</v>
      </c>
      <c r="B8" s="3">
        <v>45664.0</v>
      </c>
      <c r="C8" s="1" t="s">
        <v>53</v>
      </c>
      <c r="D8" s="1" t="s">
        <v>54</v>
      </c>
      <c r="E8" s="1" t="s">
        <v>55</v>
      </c>
      <c r="F8" s="1" t="s">
        <v>29</v>
      </c>
      <c r="G8" s="1" t="s">
        <v>56</v>
      </c>
      <c r="H8" s="1">
        <v>540000.0</v>
      </c>
      <c r="I8" s="1">
        <v>1.0</v>
      </c>
      <c r="J8" s="1">
        <v>5.0</v>
      </c>
      <c r="K8" s="1">
        <v>513000.0</v>
      </c>
      <c r="L8" s="1" t="s">
        <v>22</v>
      </c>
      <c r="M8" s="1" t="s">
        <v>23</v>
      </c>
      <c r="N8" s="1">
        <v>4.0</v>
      </c>
      <c r="O8" s="1" t="s">
        <v>24</v>
      </c>
      <c r="P8" s="2" t="str">
        <f>IFERROR(__xludf.DUMMYFUNCTION("""COMPUTED_VALUE"""),"Uche Eze")</f>
        <v>Uche Eze</v>
      </c>
      <c r="Q8" s="2">
        <f>IFERROR(__xludf.DUMMYFUNCTION("""COMPUTED_VALUE"""),950000.0)</f>
        <v>950000</v>
      </c>
      <c r="R8" s="2" t="str">
        <f>IFERROR(__xludf.DUMMYFUNCTION("""COMPUTED_VALUE"""),"Dell inspiron")</f>
        <v>Dell inspiron</v>
      </c>
      <c r="S8" s="2">
        <f>IFERROR(__xludf.DUMMYFUNCTION("""COMPUTED_VALUE"""),3.0)</f>
        <v>3</v>
      </c>
      <c r="T8" s="2" t="str">
        <f>IFERROR(__xludf.DUMMYFUNCTION("""COMPUTED_VALUE"""),"Kaduna")</f>
        <v>Kaduna</v>
      </c>
      <c r="U8" s="2">
        <f>IFERROR(__xludf.DUMMYFUNCTION("""COMPUTED_VALUE"""),4.0)</f>
        <v>4</v>
      </c>
      <c r="V8" s="2" t="str">
        <f>IFERROR(__xludf.DUMMYFUNCTION("""COMPUTED_VALUE"""),"Macbook Air M2")</f>
        <v>Macbook Air M2</v>
      </c>
      <c r="W8" s="2">
        <f>IFERROR(__xludf.DUMMYFUNCTION("""COMPUTED_VALUE"""),8.0)</f>
        <v>8</v>
      </c>
      <c r="X8" s="2" t="str">
        <f>IFERROR(__xludf.DUMMYFUNCTION("""COMPUTED_VALUE"""),"Kano")</f>
        <v>Kano</v>
      </c>
      <c r="Y8" s="2">
        <f>IFERROR(__xludf.DUMMYFUNCTION("""COMPUTED_VALUE"""),1870000.0)</f>
        <v>1870000</v>
      </c>
      <c r="Z8" s="2" t="str">
        <f>IFERROR(__xludf.DUMMYFUNCTION("""COMPUTED_VALUE"""),"Airpods Pro")</f>
        <v>Airpods Pro</v>
      </c>
      <c r="AA8" s="2">
        <f>IFERROR(__xludf.DUMMYFUNCTION("""COMPUTED_VALUE"""),9.0)</f>
        <v>9</v>
      </c>
      <c r="AC8" s="2" t="str">
        <f>IFERROR(__xludf.DUMMYFUNCTION("""COMPUTED_VALUE"""),"ORD1004")</f>
        <v>ORD1004</v>
      </c>
      <c r="AD8" s="4">
        <f>IFERROR(__xludf.DUMMYFUNCTION("""COMPUTED_VALUE"""),45662.0)</f>
        <v>45662</v>
      </c>
      <c r="AE8" s="2" t="str">
        <f>IFERROR(__xludf.DUMMYFUNCTION("""COMPUTED_VALUE"""),"C004")</f>
        <v>C004</v>
      </c>
      <c r="AF8" s="2" t="str">
        <f>IFERROR(__xludf.DUMMYFUNCTION("""COMPUTED_VALUE"""),"Tunde Ade")</f>
        <v>Tunde Ade</v>
      </c>
      <c r="AG8" s="2" t="str">
        <f>IFERROR(__xludf.DUMMYFUNCTION("""COMPUTED_VALUE"""),"Lagos")</f>
        <v>Lagos</v>
      </c>
      <c r="AH8" s="2" t="str">
        <f>IFERROR(__xludf.DUMMYFUNCTION("""COMPUTED_VALUE"""),"Phone")</f>
        <v>Phone</v>
      </c>
      <c r="AI8" s="2" t="str">
        <f>IFERROR(__xludf.DUMMYFUNCTION("""COMPUTED_VALUE"""),"Samsung S23")</f>
        <v>Samsung S23</v>
      </c>
      <c r="AJ8" s="2">
        <f>IFERROR(__xludf.DUMMYFUNCTION("""COMPUTED_VALUE"""),780000.0)</f>
        <v>780000</v>
      </c>
      <c r="AK8" s="2">
        <f>IFERROR(__xludf.DUMMYFUNCTION("""COMPUTED_VALUE"""),1.0)</f>
        <v>1</v>
      </c>
      <c r="AL8" s="2">
        <f>IFERROR(__xludf.DUMMYFUNCTION("""COMPUTED_VALUE"""),0.0)</f>
        <v>0</v>
      </c>
      <c r="AM8" s="2">
        <f>IFERROR(__xludf.DUMMYFUNCTION("""COMPUTED_VALUE"""),780000.0)</f>
        <v>780000</v>
      </c>
      <c r="AN8" s="2" t="str">
        <f>IFERROR(__xludf.DUMMYFUNCTION("""COMPUTED_VALUE"""),"Pay on Delivery")</f>
        <v>Pay on Delivery</v>
      </c>
      <c r="AO8" s="2" t="str">
        <f>IFERROR(__xludf.DUMMYFUNCTION("""COMPUTED_VALUE"""),"Cancelled")</f>
        <v>Cancelled</v>
      </c>
      <c r="AP8" s="2">
        <f>IFERROR(__xludf.DUMMYFUNCTION("""COMPUTED_VALUE"""),0.0)</f>
        <v>0</v>
      </c>
      <c r="AQ8" s="2" t="str">
        <f>IFERROR(__xludf.DUMMYFUNCTION("""COMPUTED_VALUE"""),"No")</f>
        <v>No</v>
      </c>
      <c r="AR8" s="2" t="str">
        <f>IFERROR(__xludf.DUMMYFUNCTION("""COMPUTED_VALUE"""),"ORD1004")</f>
        <v>ORD1004</v>
      </c>
      <c r="AS8" s="4">
        <f>IFERROR(__xludf.DUMMYFUNCTION("""COMPUTED_VALUE"""),45662.0)</f>
        <v>45662</v>
      </c>
      <c r="AT8" s="2" t="str">
        <f>IFERROR(__xludf.DUMMYFUNCTION("""COMPUTED_VALUE"""),"C004")</f>
        <v>C004</v>
      </c>
      <c r="AU8" s="2" t="str">
        <f>IFERROR(__xludf.DUMMYFUNCTION("""COMPUTED_VALUE"""),"Tunde Ade")</f>
        <v>Tunde Ade</v>
      </c>
      <c r="AV8" s="2" t="str">
        <f>IFERROR(__xludf.DUMMYFUNCTION("""COMPUTED_VALUE"""),"Lagos")</f>
        <v>Lagos</v>
      </c>
      <c r="AW8" s="2" t="str">
        <f>IFERROR(__xludf.DUMMYFUNCTION("""COMPUTED_VALUE"""),"Phone")</f>
        <v>Phone</v>
      </c>
      <c r="AX8" s="2" t="str">
        <f>IFERROR(__xludf.DUMMYFUNCTION("""COMPUTED_VALUE"""),"Samsung S23")</f>
        <v>Samsung S23</v>
      </c>
      <c r="AY8" s="2">
        <f>IFERROR(__xludf.DUMMYFUNCTION("""COMPUTED_VALUE"""),780000.0)</f>
        <v>780000</v>
      </c>
      <c r="AZ8" s="2">
        <f>IFERROR(__xludf.DUMMYFUNCTION("""COMPUTED_VALUE"""),1.0)</f>
        <v>1</v>
      </c>
      <c r="BA8" s="2">
        <f>IFERROR(__xludf.DUMMYFUNCTION("""COMPUTED_VALUE"""),0.0)</f>
        <v>0</v>
      </c>
      <c r="BB8" s="2">
        <f>IFERROR(__xludf.DUMMYFUNCTION("""COMPUTED_VALUE"""),780000.0)</f>
        <v>780000</v>
      </c>
      <c r="BC8" s="2" t="str">
        <f>IFERROR(__xludf.DUMMYFUNCTION("""COMPUTED_VALUE"""),"Pay on Delivery")</f>
        <v>Pay on Delivery</v>
      </c>
      <c r="BD8" s="2" t="str">
        <f>IFERROR(__xludf.DUMMYFUNCTION("""COMPUTED_VALUE"""),"Cancelled")</f>
        <v>Cancelled</v>
      </c>
      <c r="BE8" s="2">
        <f>IFERROR(__xludf.DUMMYFUNCTION("""COMPUTED_VALUE"""),0.0)</f>
        <v>0</v>
      </c>
      <c r="BF8" s="2" t="str">
        <f>IFERROR(__xludf.DUMMYFUNCTION("""COMPUTED_VALUE"""),"No")</f>
        <v>No</v>
      </c>
    </row>
    <row r="9">
      <c r="A9" s="1" t="s">
        <v>57</v>
      </c>
      <c r="B9" s="3">
        <v>45665.0</v>
      </c>
      <c r="C9" s="1" t="s">
        <v>58</v>
      </c>
      <c r="D9" s="1" t="s">
        <v>59</v>
      </c>
      <c r="E9" s="1" t="s">
        <v>19</v>
      </c>
      <c r="F9" s="1" t="s">
        <v>36</v>
      </c>
      <c r="G9" s="1" t="s">
        <v>60</v>
      </c>
      <c r="H9" s="1">
        <v>8000.0</v>
      </c>
      <c r="I9" s="1">
        <v>5.0</v>
      </c>
      <c r="J9" s="1">
        <v>0.0</v>
      </c>
      <c r="K9" s="1">
        <v>40000.0</v>
      </c>
      <c r="L9" s="1" t="s">
        <v>42</v>
      </c>
      <c r="M9" s="1" t="s">
        <v>23</v>
      </c>
      <c r="N9" s="1">
        <v>1.0</v>
      </c>
      <c r="O9" s="1" t="s">
        <v>24</v>
      </c>
      <c r="P9" s="2" t="str">
        <f>IFERROR(__xludf.DUMMYFUNCTION("""COMPUTED_VALUE"""),"Aisha Mohammed")</f>
        <v>Aisha Mohammed</v>
      </c>
      <c r="Q9" s="2">
        <f>IFERROR(__xludf.DUMMYFUNCTION("""COMPUTED_VALUE"""),883500.0)</f>
        <v>883500</v>
      </c>
      <c r="R9" s="2" t="str">
        <f>IFERROR(__xludf.DUMMYFUNCTION("""COMPUTED_VALUE"""),"HP Pavilion 15")</f>
        <v>HP Pavilion 15</v>
      </c>
      <c r="S9" s="2">
        <f>IFERROR(__xludf.DUMMYFUNCTION("""COMPUTED_VALUE"""),3.0)</f>
        <v>3</v>
      </c>
      <c r="T9" s="2" t="str">
        <f>IFERROR(__xludf.DUMMYFUNCTION("""COMPUTED_VALUE"""),"Enugu")</f>
        <v>Enugu</v>
      </c>
      <c r="U9" s="2">
        <f>IFERROR(__xludf.DUMMYFUNCTION("""COMPUTED_VALUE"""),3.0)</f>
        <v>3</v>
      </c>
      <c r="V9" s="2" t="str">
        <f>IFERROR(__xludf.DUMMYFUNCTION("""COMPUTED_VALUE"""),"iPhone 14")</f>
        <v>iPhone 14</v>
      </c>
      <c r="W9" s="2">
        <f>IFERROR(__xludf.DUMMYFUNCTION("""COMPUTED_VALUE"""),7.0)</f>
        <v>7</v>
      </c>
      <c r="X9" s="2" t="str">
        <f>IFERROR(__xludf.DUMMYFUNCTION("""COMPUTED_VALUE"""),"Enugu")</f>
        <v>Enugu</v>
      </c>
      <c r="Y9" s="2">
        <f>IFERROR(__xludf.DUMMYFUNCTION("""COMPUTED_VALUE"""),1618000.0)</f>
        <v>1618000</v>
      </c>
      <c r="Z9" s="2" t="str">
        <f>IFERROR(__xludf.DUMMYFUNCTION("""COMPUTED_VALUE"""),"Dell inspiron")</f>
        <v>Dell inspiron</v>
      </c>
      <c r="AA9" s="2">
        <f>IFERROR(__xludf.DUMMYFUNCTION("""COMPUTED_VALUE"""),9.0)</f>
        <v>9</v>
      </c>
      <c r="AC9" s="2" t="str">
        <f>IFERROR(__xludf.DUMMYFUNCTION("""COMPUTED_VALUE"""),"ORD1005")</f>
        <v>ORD1005</v>
      </c>
      <c r="AD9" s="4">
        <f>IFERROR(__xludf.DUMMYFUNCTION("""COMPUTED_VALUE"""),45663.0)</f>
        <v>45663</v>
      </c>
      <c r="AE9" s="2" t="str">
        <f>IFERROR(__xludf.DUMMYFUNCTION("""COMPUTED_VALUE"""),"C002")</f>
        <v>C002</v>
      </c>
      <c r="AF9" s="2" t="str">
        <f>IFERROR(__xludf.DUMMYFUNCTION("""COMPUTED_VALUE"""),"Chinedu Okafor")</f>
        <v>Chinedu Okafor</v>
      </c>
      <c r="AG9" s="2" t="str">
        <f>IFERROR(__xludf.DUMMYFUNCTION("""COMPUTED_VALUE"""),"Abuja")</f>
        <v>Abuja</v>
      </c>
      <c r="AH9" s="2" t="str">
        <f>IFERROR(__xludf.DUMMYFUNCTION("""COMPUTED_VALUE"""),"Accessory")</f>
        <v>Accessory</v>
      </c>
      <c r="AI9" s="2" t="str">
        <f>IFERROR(__xludf.DUMMYFUNCTION("""COMPUTED_VALUE"""),"Logitech Mouse")</f>
        <v>Logitech Mouse</v>
      </c>
      <c r="AJ9" s="2">
        <f>IFERROR(__xludf.DUMMYFUNCTION("""COMPUTED_VALUE"""),25000.0)</f>
        <v>25000</v>
      </c>
      <c r="AK9" s="2">
        <f>IFERROR(__xludf.DUMMYFUNCTION("""COMPUTED_VALUE"""),3.0)</f>
        <v>3</v>
      </c>
      <c r="AL9" s="2">
        <f>IFERROR(__xludf.DUMMYFUNCTION("""COMPUTED_VALUE"""),0.0)</f>
        <v>0</v>
      </c>
      <c r="AM9" s="2">
        <f>IFERROR(__xludf.DUMMYFUNCTION("""COMPUTED_VALUE"""),75000.0)</f>
        <v>75000</v>
      </c>
      <c r="AN9" s="2" t="str">
        <f>IFERROR(__xludf.DUMMYFUNCTION("""COMPUTED_VALUE"""),"Bank  Transfer")</f>
        <v>Bank  Transfer</v>
      </c>
      <c r="AO9" s="2" t="str">
        <f>IFERROR(__xludf.DUMMYFUNCTION("""COMPUTED_VALUE"""),"Delivered")</f>
        <v>Delivered</v>
      </c>
      <c r="AP9" s="2">
        <f>IFERROR(__xludf.DUMMYFUNCTION("""COMPUTED_VALUE"""),2.0)</f>
        <v>2</v>
      </c>
      <c r="AQ9" s="2" t="str">
        <f>IFERROR(__xludf.DUMMYFUNCTION("""COMPUTED_VALUE"""),"No")</f>
        <v>No</v>
      </c>
      <c r="AR9" s="2" t="str">
        <f>IFERROR(__xludf.DUMMYFUNCTION("""COMPUTED_VALUE"""),"ORD1005")</f>
        <v>ORD1005</v>
      </c>
      <c r="AS9" s="4">
        <f>IFERROR(__xludf.DUMMYFUNCTION("""COMPUTED_VALUE"""),45663.0)</f>
        <v>45663</v>
      </c>
      <c r="AT9" s="2" t="str">
        <f>IFERROR(__xludf.DUMMYFUNCTION("""COMPUTED_VALUE"""),"C002")</f>
        <v>C002</v>
      </c>
      <c r="AU9" s="2" t="str">
        <f>IFERROR(__xludf.DUMMYFUNCTION("""COMPUTED_VALUE"""),"Chinedu Okafor")</f>
        <v>Chinedu Okafor</v>
      </c>
      <c r="AV9" s="2" t="str">
        <f>IFERROR(__xludf.DUMMYFUNCTION("""COMPUTED_VALUE"""),"Abuja")</f>
        <v>Abuja</v>
      </c>
      <c r="AW9" s="2" t="str">
        <f>IFERROR(__xludf.DUMMYFUNCTION("""COMPUTED_VALUE"""),"Accessory")</f>
        <v>Accessory</v>
      </c>
      <c r="AX9" s="2" t="str">
        <f>IFERROR(__xludf.DUMMYFUNCTION("""COMPUTED_VALUE"""),"Logitech Mouse")</f>
        <v>Logitech Mouse</v>
      </c>
      <c r="AY9" s="2">
        <f>IFERROR(__xludf.DUMMYFUNCTION("""COMPUTED_VALUE"""),25000.0)</f>
        <v>25000</v>
      </c>
      <c r="AZ9" s="2">
        <f>IFERROR(__xludf.DUMMYFUNCTION("""COMPUTED_VALUE"""),3.0)</f>
        <v>3</v>
      </c>
      <c r="BA9" s="2">
        <f>IFERROR(__xludf.DUMMYFUNCTION("""COMPUTED_VALUE"""),0.0)</f>
        <v>0</v>
      </c>
      <c r="BB9" s="2">
        <f>IFERROR(__xludf.DUMMYFUNCTION("""COMPUTED_VALUE"""),75000.0)</f>
        <v>75000</v>
      </c>
      <c r="BC9" s="2" t="str">
        <f>IFERROR(__xludf.DUMMYFUNCTION("""COMPUTED_VALUE"""),"Bank  Transfer")</f>
        <v>Bank  Transfer</v>
      </c>
      <c r="BD9" s="2" t="str">
        <f>IFERROR(__xludf.DUMMYFUNCTION("""COMPUTED_VALUE"""),"Delivered")</f>
        <v>Delivered</v>
      </c>
      <c r="BE9" s="2">
        <f>IFERROR(__xludf.DUMMYFUNCTION("""COMPUTED_VALUE"""),2.0)</f>
        <v>2</v>
      </c>
      <c r="BF9" s="2" t="str">
        <f>IFERROR(__xludf.DUMMYFUNCTION("""COMPUTED_VALUE"""),"No")</f>
        <v>No</v>
      </c>
    </row>
    <row r="10">
      <c r="A10" s="1" t="s">
        <v>61</v>
      </c>
      <c r="B10" s="3">
        <v>45665.0</v>
      </c>
      <c r="C10" s="1" t="s">
        <v>62</v>
      </c>
      <c r="D10" s="1" t="s">
        <v>63</v>
      </c>
      <c r="E10" s="1" t="s">
        <v>64</v>
      </c>
      <c r="F10" s="1" t="s">
        <v>20</v>
      </c>
      <c r="G10" s="1" t="s">
        <v>65</v>
      </c>
      <c r="H10" s="1">
        <v>220000.0</v>
      </c>
      <c r="I10" s="1">
        <v>1.0</v>
      </c>
      <c r="J10" s="1">
        <v>0.0</v>
      </c>
      <c r="K10" s="1">
        <v>220000.0</v>
      </c>
      <c r="L10" s="1" t="s">
        <v>22</v>
      </c>
      <c r="M10" s="1" t="s">
        <v>23</v>
      </c>
      <c r="N10" s="1">
        <v>3.0</v>
      </c>
      <c r="O10" s="1" t="s">
        <v>24</v>
      </c>
      <c r="P10" s="2" t="str">
        <f>IFERROR(__xludf.DUMMYFUNCTION("""COMPUTED_VALUE"""),"Musa Abubakar")</f>
        <v>Musa Abubakar</v>
      </c>
      <c r="Q10" s="2">
        <f>IFERROR(__xludf.DUMMYFUNCTION("""COMPUTED_VALUE"""),867500.0)</f>
        <v>867500</v>
      </c>
      <c r="R10" s="2" t="str">
        <f>IFERROR(__xludf.DUMMYFUNCTION("""COMPUTED_VALUE"""),"Power Bank")</f>
        <v>Power Bank</v>
      </c>
      <c r="S10" s="2">
        <f>IFERROR(__xludf.DUMMYFUNCTION("""COMPUTED_VALUE"""),3.0)</f>
        <v>3</v>
      </c>
      <c r="T10" s="2" t="str">
        <f>IFERROR(__xludf.DUMMYFUNCTION("""COMPUTED_VALUE"""),"Rivers")</f>
        <v>Rivers</v>
      </c>
      <c r="U10" s="2">
        <f>IFERROR(__xludf.DUMMYFUNCTION("""COMPUTED_VALUE"""),3.0)</f>
        <v>3</v>
      </c>
      <c r="V10" s="2" t="str">
        <f>IFERROR(__xludf.DUMMYFUNCTION("""COMPUTED_VALUE"""),"Lenovo Thinkpad")</f>
        <v>Lenovo Thinkpad</v>
      </c>
      <c r="W10" s="2">
        <f>IFERROR(__xludf.DUMMYFUNCTION("""COMPUTED_VALUE"""),5.0)</f>
        <v>5</v>
      </c>
      <c r="X10" s="2" t="str">
        <f>IFERROR(__xludf.DUMMYFUNCTION("""COMPUTED_VALUE"""),"Anambra")</f>
        <v>Anambra</v>
      </c>
      <c r="Y10" s="2">
        <f>IFERROR(__xludf.DUMMYFUNCTION("""COMPUTED_VALUE"""),1170000.0)</f>
        <v>1170000</v>
      </c>
      <c r="Z10" s="2" t="str">
        <f>IFERROR(__xludf.DUMMYFUNCTION("""COMPUTED_VALUE"""),"Samsung A54")</f>
        <v>Samsung A54</v>
      </c>
      <c r="AA10" s="2">
        <f>IFERROR(__xludf.DUMMYFUNCTION("""COMPUTED_VALUE"""),8.0)</f>
        <v>8</v>
      </c>
      <c r="AC10" s="2" t="str">
        <f>IFERROR(__xludf.DUMMYFUNCTION("""COMPUTED_VALUE"""),"ORD1006")</f>
        <v>ORD1006</v>
      </c>
      <c r="AD10" s="4">
        <f>IFERROR(__xludf.DUMMYFUNCTION("""COMPUTED_VALUE"""),45664.0)</f>
        <v>45664</v>
      </c>
      <c r="AE10" s="2" t="str">
        <f>IFERROR(__xludf.DUMMYFUNCTION("""COMPUTED_VALUE"""),"C005")</f>
        <v>C005</v>
      </c>
      <c r="AF10" s="2" t="str">
        <f>IFERROR(__xludf.DUMMYFUNCTION("""COMPUTED_VALUE"""),"Aisha Mohammed")</f>
        <v>Aisha Mohammed</v>
      </c>
      <c r="AG10" s="2" t="str">
        <f>IFERROR(__xludf.DUMMYFUNCTION("""COMPUTED_VALUE"""),"Kaduna")</f>
        <v>Kaduna</v>
      </c>
      <c r="AH10" s="2" t="str">
        <f>IFERROR(__xludf.DUMMYFUNCTION("""COMPUTED_VALUE"""),"Phone")</f>
        <v>Phone</v>
      </c>
      <c r="AI10" s="2" t="str">
        <f>IFERROR(__xludf.DUMMYFUNCTION("""COMPUTED_VALUE"""),"iPhone 14")</f>
        <v>iPhone 14</v>
      </c>
      <c r="AJ10" s="2">
        <f>IFERROR(__xludf.DUMMYFUNCTION("""COMPUTED_VALUE"""),950000.0)</f>
        <v>950000</v>
      </c>
      <c r="AK10" s="2">
        <f>IFERROR(__xludf.DUMMYFUNCTION("""COMPUTED_VALUE"""),1.0)</f>
        <v>1</v>
      </c>
      <c r="AL10" s="2">
        <f>IFERROR(__xludf.DUMMYFUNCTION("""COMPUTED_VALUE"""),7.0)</f>
        <v>7</v>
      </c>
      <c r="AM10" s="2">
        <f>IFERROR(__xludf.DUMMYFUNCTION("""COMPUTED_VALUE"""),883500.0)</f>
        <v>883500</v>
      </c>
      <c r="AN10" s="2" t="str">
        <f>IFERROR(__xludf.DUMMYFUNCTION("""COMPUTED_VALUE"""),"Card")</f>
        <v>Card</v>
      </c>
      <c r="AO10" s="2" t="str">
        <f>IFERROR(__xludf.DUMMYFUNCTION("""COMPUTED_VALUE"""),"Delivered")</f>
        <v>Delivered</v>
      </c>
      <c r="AP10" s="2">
        <f>IFERROR(__xludf.DUMMYFUNCTION("""COMPUTED_VALUE"""),6.0)</f>
        <v>6</v>
      </c>
      <c r="AQ10" s="2" t="str">
        <f>IFERROR(__xludf.DUMMYFUNCTION("""COMPUTED_VALUE"""),"Yes")</f>
        <v>Yes</v>
      </c>
      <c r="AR10" s="2" t="str">
        <f>IFERROR(__xludf.DUMMYFUNCTION("""COMPUTED_VALUE"""),"ORD1006")</f>
        <v>ORD1006</v>
      </c>
      <c r="AS10" s="4">
        <f>IFERROR(__xludf.DUMMYFUNCTION("""COMPUTED_VALUE"""),45664.0)</f>
        <v>45664</v>
      </c>
      <c r="AT10" s="2" t="str">
        <f>IFERROR(__xludf.DUMMYFUNCTION("""COMPUTED_VALUE"""),"C005")</f>
        <v>C005</v>
      </c>
      <c r="AU10" s="2" t="str">
        <f>IFERROR(__xludf.DUMMYFUNCTION("""COMPUTED_VALUE"""),"Aisha Mohammed")</f>
        <v>Aisha Mohammed</v>
      </c>
      <c r="AV10" s="2" t="str">
        <f>IFERROR(__xludf.DUMMYFUNCTION("""COMPUTED_VALUE"""),"Kaduna")</f>
        <v>Kaduna</v>
      </c>
      <c r="AW10" s="2" t="str">
        <f>IFERROR(__xludf.DUMMYFUNCTION("""COMPUTED_VALUE"""),"Phone")</f>
        <v>Phone</v>
      </c>
      <c r="AX10" s="2" t="str">
        <f>IFERROR(__xludf.DUMMYFUNCTION("""COMPUTED_VALUE"""),"iPhone 14")</f>
        <v>iPhone 14</v>
      </c>
      <c r="AY10" s="2">
        <f>IFERROR(__xludf.DUMMYFUNCTION("""COMPUTED_VALUE"""),950000.0)</f>
        <v>950000</v>
      </c>
      <c r="AZ10" s="2">
        <f>IFERROR(__xludf.DUMMYFUNCTION("""COMPUTED_VALUE"""),1.0)</f>
        <v>1</v>
      </c>
      <c r="BA10" s="2">
        <f>IFERROR(__xludf.DUMMYFUNCTION("""COMPUTED_VALUE"""),7.0)</f>
        <v>7</v>
      </c>
      <c r="BB10" s="2">
        <f>IFERROR(__xludf.DUMMYFUNCTION("""COMPUTED_VALUE"""),883500.0)</f>
        <v>883500</v>
      </c>
      <c r="BC10" s="2" t="str">
        <f>IFERROR(__xludf.DUMMYFUNCTION("""COMPUTED_VALUE"""),"Card")</f>
        <v>Card</v>
      </c>
      <c r="BD10" s="2" t="str">
        <f>IFERROR(__xludf.DUMMYFUNCTION("""COMPUTED_VALUE"""),"Delivered")</f>
        <v>Delivered</v>
      </c>
      <c r="BE10" s="2">
        <f>IFERROR(__xludf.DUMMYFUNCTION("""COMPUTED_VALUE"""),6.0)</f>
        <v>6</v>
      </c>
      <c r="BF10" s="2" t="str">
        <f>IFERROR(__xludf.DUMMYFUNCTION("""COMPUTED_VALUE"""),"Yes")</f>
        <v>Yes</v>
      </c>
    </row>
    <row r="11">
      <c r="A11" s="1" t="s">
        <v>66</v>
      </c>
      <c r="B11" s="3">
        <v>45666.0</v>
      </c>
      <c r="C11" s="1" t="s">
        <v>67</v>
      </c>
      <c r="D11" s="1" t="s">
        <v>68</v>
      </c>
      <c r="E11" s="1" t="s">
        <v>19</v>
      </c>
      <c r="F11" s="1" t="s">
        <v>29</v>
      </c>
      <c r="G11" s="1" t="s">
        <v>69</v>
      </c>
      <c r="H11" s="1">
        <v>1250000.0</v>
      </c>
      <c r="I11" s="1">
        <v>1.0</v>
      </c>
      <c r="J11" s="1">
        <v>3.0</v>
      </c>
      <c r="K11" s="1">
        <v>1212500.0</v>
      </c>
      <c r="L11" s="1" t="s">
        <v>31</v>
      </c>
      <c r="M11" s="1" t="s">
        <v>23</v>
      </c>
      <c r="N11" s="1">
        <v>7.0</v>
      </c>
      <c r="O11" s="1" t="s">
        <v>24</v>
      </c>
      <c r="P11" s="2" t="str">
        <f>IFERROR(__xludf.DUMMYFUNCTION("""COMPUTED_VALUE"""),"Ahmed Yusuf")</f>
        <v>Ahmed Yusuf</v>
      </c>
      <c r="Q11" s="2">
        <f>IFERROR(__xludf.DUMMYFUNCTION("""COMPUTED_VALUE"""),850000.0)</f>
        <v>850000</v>
      </c>
      <c r="R11" s="2" t="str">
        <f>IFERROR(__xludf.DUMMYFUNCTION("""COMPUTED_VALUE"""),"Samsung A54")</f>
        <v>Samsung A54</v>
      </c>
      <c r="S11" s="2">
        <f>IFERROR(__xludf.DUMMYFUNCTION("""COMPUTED_VALUE"""),3.0)</f>
        <v>3</v>
      </c>
      <c r="T11" s="2" t="str">
        <f>IFERROR(__xludf.DUMMYFUNCTION("""COMPUTED_VALUE"""),"Anambra")</f>
        <v>Anambra</v>
      </c>
      <c r="U11" s="2">
        <f>IFERROR(__xludf.DUMMYFUNCTION("""COMPUTED_VALUE"""),2.0)</f>
        <v>2</v>
      </c>
      <c r="V11" s="2" t="str">
        <f>IFERROR(__xludf.DUMMYFUNCTION("""COMPUTED_VALUE"""),"Samsung S23")</f>
        <v>Samsung S23</v>
      </c>
      <c r="W11" s="2">
        <f>IFERROR(__xludf.DUMMYFUNCTION("""COMPUTED_VALUE"""),5.0)</f>
        <v>5</v>
      </c>
      <c r="X11" s="2" t="str">
        <f>IFERROR(__xludf.DUMMYFUNCTION("""COMPUTED_VALUE"""),"Rivers")</f>
        <v>Rivers</v>
      </c>
      <c r="Y11" s="2">
        <f>IFERROR(__xludf.DUMMYFUNCTION("""COMPUTED_VALUE"""),864000.0)</f>
        <v>864000</v>
      </c>
      <c r="Z11" s="2" t="str">
        <f>IFERROR(__xludf.DUMMYFUNCTION("""COMPUTED_VALUE"""),"iPhone 13")</f>
        <v>iPhone 13</v>
      </c>
      <c r="AA11" s="2">
        <f>IFERROR(__xludf.DUMMYFUNCTION("""COMPUTED_VALUE"""),8.0)</f>
        <v>8</v>
      </c>
      <c r="AC11" s="2" t="str">
        <f>IFERROR(__xludf.DUMMYFUNCTION("""COMPUTED_VALUE"""),"ORD1007")</f>
        <v>ORD1007</v>
      </c>
      <c r="AD11" s="4">
        <f>IFERROR(__xludf.DUMMYFUNCTION("""COMPUTED_VALUE"""),45664.0)</f>
        <v>45664</v>
      </c>
      <c r="AE11" s="2" t="str">
        <f>IFERROR(__xludf.DUMMYFUNCTION("""COMPUTED_VALUE"""),"C006")</f>
        <v>C006</v>
      </c>
      <c r="AF11" s="2" t="str">
        <f>IFERROR(__xludf.DUMMYFUNCTION("""COMPUTED_VALUE"""),"John Peter")</f>
        <v>John Peter</v>
      </c>
      <c r="AG11" s="2" t="str">
        <f>IFERROR(__xludf.DUMMYFUNCTION("""COMPUTED_VALUE"""),"Rivers")</f>
        <v>Rivers</v>
      </c>
      <c r="AH11" s="2" t="str">
        <f>IFERROR(__xludf.DUMMYFUNCTION("""COMPUTED_VALUE"""),"Laptop")</f>
        <v>Laptop</v>
      </c>
      <c r="AI11" s="2" t="str">
        <f>IFERROR(__xludf.DUMMYFUNCTION("""COMPUTED_VALUE"""),"Dell inspiron")</f>
        <v>Dell inspiron</v>
      </c>
      <c r="AJ11" s="2">
        <f>IFERROR(__xludf.DUMMYFUNCTION("""COMPUTED_VALUE"""),540000.0)</f>
        <v>540000</v>
      </c>
      <c r="AK11" s="2">
        <f>IFERROR(__xludf.DUMMYFUNCTION("""COMPUTED_VALUE"""),1.0)</f>
        <v>1</v>
      </c>
      <c r="AL11" s="2">
        <f>IFERROR(__xludf.DUMMYFUNCTION("""COMPUTED_VALUE"""),5.0)</f>
        <v>5</v>
      </c>
      <c r="AM11" s="2">
        <f>IFERROR(__xludf.DUMMYFUNCTION("""COMPUTED_VALUE"""),513000.0)</f>
        <v>513000</v>
      </c>
      <c r="AN11" s="2" t="str">
        <f>IFERROR(__xludf.DUMMYFUNCTION("""COMPUTED_VALUE"""),"Card")</f>
        <v>Card</v>
      </c>
      <c r="AO11" s="2" t="str">
        <f>IFERROR(__xludf.DUMMYFUNCTION("""COMPUTED_VALUE"""),"Delivered")</f>
        <v>Delivered</v>
      </c>
      <c r="AP11" s="2">
        <f>IFERROR(__xludf.DUMMYFUNCTION("""COMPUTED_VALUE"""),4.0)</f>
        <v>4</v>
      </c>
      <c r="AQ11" s="2" t="str">
        <f>IFERROR(__xludf.DUMMYFUNCTION("""COMPUTED_VALUE"""),"No")</f>
        <v>No</v>
      </c>
      <c r="AR11" s="2" t="str">
        <f>IFERROR(__xludf.DUMMYFUNCTION("""COMPUTED_VALUE"""),"ORD1007")</f>
        <v>ORD1007</v>
      </c>
      <c r="AS11" s="4">
        <f>IFERROR(__xludf.DUMMYFUNCTION("""COMPUTED_VALUE"""),45664.0)</f>
        <v>45664</v>
      </c>
      <c r="AT11" s="2" t="str">
        <f>IFERROR(__xludf.DUMMYFUNCTION("""COMPUTED_VALUE"""),"C006")</f>
        <v>C006</v>
      </c>
      <c r="AU11" s="2" t="str">
        <f>IFERROR(__xludf.DUMMYFUNCTION("""COMPUTED_VALUE"""),"John Peter")</f>
        <v>John Peter</v>
      </c>
      <c r="AV11" s="2" t="str">
        <f>IFERROR(__xludf.DUMMYFUNCTION("""COMPUTED_VALUE"""),"Rivers")</f>
        <v>Rivers</v>
      </c>
      <c r="AW11" s="2" t="str">
        <f>IFERROR(__xludf.DUMMYFUNCTION("""COMPUTED_VALUE"""),"Laptop")</f>
        <v>Laptop</v>
      </c>
      <c r="AX11" s="2" t="str">
        <f>IFERROR(__xludf.DUMMYFUNCTION("""COMPUTED_VALUE"""),"Dell inspiron")</f>
        <v>Dell inspiron</v>
      </c>
      <c r="AY11" s="2">
        <f>IFERROR(__xludf.DUMMYFUNCTION("""COMPUTED_VALUE"""),540000.0)</f>
        <v>540000</v>
      </c>
      <c r="AZ11" s="2">
        <f>IFERROR(__xludf.DUMMYFUNCTION("""COMPUTED_VALUE"""),1.0)</f>
        <v>1</v>
      </c>
      <c r="BA11" s="2">
        <f>IFERROR(__xludf.DUMMYFUNCTION("""COMPUTED_VALUE"""),5.0)</f>
        <v>5</v>
      </c>
      <c r="BB11" s="2">
        <f>IFERROR(__xludf.DUMMYFUNCTION("""COMPUTED_VALUE"""),513000.0)</f>
        <v>513000</v>
      </c>
      <c r="BC11" s="2" t="str">
        <f>IFERROR(__xludf.DUMMYFUNCTION("""COMPUTED_VALUE"""),"Card")</f>
        <v>Card</v>
      </c>
      <c r="BD11" s="2" t="str">
        <f>IFERROR(__xludf.DUMMYFUNCTION("""COMPUTED_VALUE"""),"Delivered")</f>
        <v>Delivered</v>
      </c>
      <c r="BE11" s="2">
        <f>IFERROR(__xludf.DUMMYFUNCTION("""COMPUTED_VALUE"""),4.0)</f>
        <v>4</v>
      </c>
      <c r="BF11" s="2" t="str">
        <f>IFERROR(__xludf.DUMMYFUNCTION("""COMPUTED_VALUE"""),"No")</f>
        <v>No</v>
      </c>
    </row>
    <row r="12">
      <c r="A12" s="1" t="s">
        <v>70</v>
      </c>
      <c r="B12" s="3">
        <v>45666.0</v>
      </c>
      <c r="C12" s="1" t="s">
        <v>17</v>
      </c>
      <c r="D12" s="1" t="s">
        <v>18</v>
      </c>
      <c r="E12" s="1" t="s">
        <v>19</v>
      </c>
      <c r="F12" s="1" t="s">
        <v>36</v>
      </c>
      <c r="G12" s="1" t="s">
        <v>71</v>
      </c>
      <c r="H12" s="1">
        <v>20000.0</v>
      </c>
      <c r="I12" s="1">
        <v>2.0</v>
      </c>
      <c r="J12" s="1">
        <v>0.0</v>
      </c>
      <c r="K12" s="1">
        <v>40000.0</v>
      </c>
      <c r="L12" s="1" t="s">
        <v>22</v>
      </c>
      <c r="M12" s="1" t="s">
        <v>23</v>
      </c>
      <c r="N12" s="1">
        <v>2.0</v>
      </c>
      <c r="O12" s="1" t="s">
        <v>24</v>
      </c>
      <c r="P12" s="2" t="str">
        <f>IFERROR(__xludf.DUMMYFUNCTION("""COMPUTED_VALUE"""),"Deborah White")</f>
        <v>Deborah White</v>
      </c>
      <c r="Q12" s="2">
        <f>IFERROR(__xludf.DUMMYFUNCTION("""COMPUTED_VALUE"""),850000.0)</f>
        <v>850000</v>
      </c>
      <c r="R12" s="2" t="str">
        <f>IFERROR(__xludf.DUMMYFUNCTION("""COMPUTED_VALUE"""),"iPhone 13")</f>
        <v>iPhone 13</v>
      </c>
      <c r="S12" s="2">
        <f>IFERROR(__xludf.DUMMYFUNCTION("""COMPUTED_VALUE"""),3.0)</f>
        <v>3</v>
      </c>
      <c r="V12" s="2" t="str">
        <f>IFERROR(__xludf.DUMMYFUNCTION("""COMPUTED_VALUE"""),"iPhone 13")</f>
        <v>iPhone 13</v>
      </c>
      <c r="W12" s="2">
        <f>IFERROR(__xludf.DUMMYFUNCTION("""COMPUTED_VALUE"""),5.0)</f>
        <v>5</v>
      </c>
      <c r="X12" s="2"/>
      <c r="Y12" s="2"/>
      <c r="Z12" s="2" t="str">
        <f>IFERROR(__xludf.DUMMYFUNCTION("""COMPUTED_VALUE"""),"Tecno Camon 20")</f>
        <v>Tecno Camon 20</v>
      </c>
      <c r="AA12" s="2">
        <f>IFERROR(__xludf.DUMMYFUNCTION("""COMPUTED_VALUE"""),6.0)</f>
        <v>6</v>
      </c>
      <c r="AC12" s="2" t="str">
        <f>IFERROR(__xludf.DUMMYFUNCTION("""COMPUTED_VALUE"""),"ORD1008")</f>
        <v>ORD1008</v>
      </c>
      <c r="AD12" s="4">
        <f>IFERROR(__xludf.DUMMYFUNCTION("""COMPUTED_VALUE"""),45665.0)</f>
        <v>45665</v>
      </c>
      <c r="AE12" s="2" t="str">
        <f>IFERROR(__xludf.DUMMYFUNCTION("""COMPUTED_VALUE"""),"C007")</f>
        <v>C007</v>
      </c>
      <c r="AF12" s="2" t="str">
        <f>IFERROR(__xludf.DUMMYFUNCTION("""COMPUTED_VALUE"""),"Blessing Udo")</f>
        <v>Blessing Udo</v>
      </c>
      <c r="AG12" s="2" t="str">
        <f>IFERROR(__xludf.DUMMYFUNCTION("""COMPUTED_VALUE"""),"Lagos")</f>
        <v>Lagos</v>
      </c>
      <c r="AH12" s="2" t="str">
        <f>IFERROR(__xludf.DUMMYFUNCTION("""COMPUTED_VALUE"""),"Accessory")</f>
        <v>Accessory</v>
      </c>
      <c r="AI12" s="2" t="str">
        <f>IFERROR(__xludf.DUMMYFUNCTION("""COMPUTED_VALUE"""),"Phone Case")</f>
        <v>Phone Case</v>
      </c>
      <c r="AJ12" s="2">
        <f>IFERROR(__xludf.DUMMYFUNCTION("""COMPUTED_VALUE"""),8000.0)</f>
        <v>8000</v>
      </c>
      <c r="AK12" s="2">
        <f>IFERROR(__xludf.DUMMYFUNCTION("""COMPUTED_VALUE"""),5.0)</f>
        <v>5</v>
      </c>
      <c r="AL12" s="2">
        <f>IFERROR(__xludf.DUMMYFUNCTION("""COMPUTED_VALUE"""),0.0)</f>
        <v>0</v>
      </c>
      <c r="AM12" s="2">
        <f>IFERROR(__xludf.DUMMYFUNCTION("""COMPUTED_VALUE"""),40000.0)</f>
        <v>40000</v>
      </c>
      <c r="AN12" s="2" t="str">
        <f>IFERROR(__xludf.DUMMYFUNCTION("""COMPUTED_VALUE"""),"Pay on Delivery")</f>
        <v>Pay on Delivery</v>
      </c>
      <c r="AO12" s="2" t="str">
        <f>IFERROR(__xludf.DUMMYFUNCTION("""COMPUTED_VALUE"""),"Delivered")</f>
        <v>Delivered</v>
      </c>
      <c r="AP12" s="2">
        <f>IFERROR(__xludf.DUMMYFUNCTION("""COMPUTED_VALUE"""),1.0)</f>
        <v>1</v>
      </c>
      <c r="AQ12" s="2" t="str">
        <f>IFERROR(__xludf.DUMMYFUNCTION("""COMPUTED_VALUE"""),"No")</f>
        <v>No</v>
      </c>
    </row>
    <row r="13">
      <c r="A13" s="1" t="s">
        <v>72</v>
      </c>
      <c r="B13" s="3">
        <v>45667.0</v>
      </c>
      <c r="C13" s="1" t="s">
        <v>73</v>
      </c>
      <c r="D13" s="1" t="s">
        <v>74</v>
      </c>
      <c r="E13" s="1" t="s">
        <v>35</v>
      </c>
      <c r="F13" s="1" t="s">
        <v>20</v>
      </c>
      <c r="G13" s="1" t="s">
        <v>21</v>
      </c>
      <c r="H13" s="1">
        <v>850000.0</v>
      </c>
      <c r="I13" s="1">
        <v>1.0</v>
      </c>
      <c r="J13" s="1">
        <v>0.0</v>
      </c>
      <c r="K13" s="1">
        <v>850000.0</v>
      </c>
      <c r="L13" s="1" t="s">
        <v>42</v>
      </c>
      <c r="M13" s="1" t="s">
        <v>75</v>
      </c>
      <c r="N13" s="1">
        <v>0.0</v>
      </c>
      <c r="O13" s="1" t="s">
        <v>24</v>
      </c>
      <c r="P13" s="2" t="str">
        <f>IFERROR(__xludf.DUMMYFUNCTION("""COMPUTED_VALUE"""),"Tunde Ade")</f>
        <v>Tunde Ade</v>
      </c>
      <c r="Q13" s="2">
        <f>IFERROR(__xludf.DUMMYFUNCTION("""COMPUTED_VALUE"""),780000.0)</f>
        <v>780000</v>
      </c>
      <c r="R13" s="2" t="str">
        <f>IFERROR(__xludf.DUMMYFUNCTION("""COMPUTED_VALUE"""),"Lenovo Thinkpad")</f>
        <v>Lenovo Thinkpad</v>
      </c>
      <c r="S13" s="2">
        <f>IFERROR(__xludf.DUMMYFUNCTION("""COMPUTED_VALUE"""),2.0)</f>
        <v>2</v>
      </c>
      <c r="V13" s="2" t="str">
        <f>IFERROR(__xludf.DUMMYFUNCTION("""COMPUTED_VALUE"""),"HP Pavilion 15")</f>
        <v>HP Pavilion 15</v>
      </c>
      <c r="W13" s="2">
        <f>IFERROR(__xludf.DUMMYFUNCTION("""COMPUTED_VALUE"""),0.0)</f>
        <v>0</v>
      </c>
      <c r="Z13" s="2" t="str">
        <f>IFERROR(__xludf.DUMMYFUNCTION("""COMPUTED_VALUE"""),"iPhone 14")</f>
        <v>iPhone 14</v>
      </c>
      <c r="AA13" s="2">
        <f>IFERROR(__xludf.DUMMYFUNCTION("""COMPUTED_VALUE"""),6.0)</f>
        <v>6</v>
      </c>
    </row>
    <row r="14">
      <c r="A14" s="1" t="s">
        <v>76</v>
      </c>
      <c r="B14" s="3">
        <v>45668.0</v>
      </c>
      <c r="C14" s="1" t="s">
        <v>77</v>
      </c>
      <c r="D14" s="1" t="s">
        <v>78</v>
      </c>
      <c r="E14" s="1" t="s">
        <v>79</v>
      </c>
      <c r="F14" s="1" t="s">
        <v>29</v>
      </c>
      <c r="G14" s="1" t="s">
        <v>80</v>
      </c>
      <c r="H14" s="1">
        <v>680000.0</v>
      </c>
      <c r="I14" s="1">
        <v>1.0</v>
      </c>
      <c r="J14" s="1">
        <v>5.0</v>
      </c>
      <c r="K14" s="1">
        <v>646000.0</v>
      </c>
      <c r="L14" s="1" t="s">
        <v>22</v>
      </c>
      <c r="M14" s="1" t="s">
        <v>23</v>
      </c>
      <c r="N14" s="1">
        <v>5.0</v>
      </c>
      <c r="O14" s="1" t="s">
        <v>24</v>
      </c>
      <c r="P14" s="2" t="str">
        <f>IFERROR(__xludf.DUMMYFUNCTION("""COMPUTED_VALUE"""),"David Ojo")</f>
        <v>David Ojo</v>
      </c>
      <c r="Q14" s="2">
        <f>IFERROR(__xludf.DUMMYFUNCTION("""COMPUTED_VALUE"""),741000.0)</f>
        <v>741000</v>
      </c>
      <c r="R14" s="2" t="str">
        <f>IFERROR(__xludf.DUMMYFUNCTION("""COMPUTED_VALUE"""),"Macbook Air M2")</f>
        <v>Macbook Air M2</v>
      </c>
      <c r="S14" s="2">
        <f>IFERROR(__xludf.DUMMYFUNCTION("""COMPUTED_VALUE"""),2.0)</f>
        <v>2</v>
      </c>
      <c r="V14" s="2" t="str">
        <f>IFERROR(__xludf.DUMMYFUNCTION("""COMPUTED_VALUE"""),"Infinix zero")</f>
        <v>Infinix zero</v>
      </c>
      <c r="W14" s="2">
        <f>IFERROR(__xludf.DUMMYFUNCTION("""COMPUTED_VALUE"""),0.0)</f>
        <v>0</v>
      </c>
      <c r="Z14" s="2" t="str">
        <f>IFERROR(__xludf.DUMMYFUNCTION("""COMPUTED_VALUE"""),"Logitech Mouse")</f>
        <v>Logitech Mouse</v>
      </c>
      <c r="AA14" s="2">
        <f>IFERROR(__xludf.DUMMYFUNCTION("""COMPUTED_VALUE"""),4.0)</f>
        <v>4</v>
      </c>
    </row>
    <row r="15">
      <c r="A15" s="1" t="s">
        <v>81</v>
      </c>
      <c r="B15" s="3">
        <v>45669.0</v>
      </c>
      <c r="C15" s="1" t="s">
        <v>82</v>
      </c>
      <c r="D15" s="1" t="s">
        <v>83</v>
      </c>
      <c r="E15" s="1" t="s">
        <v>19</v>
      </c>
      <c r="F15" s="1" t="s">
        <v>36</v>
      </c>
      <c r="G15" s="1" t="s">
        <v>37</v>
      </c>
      <c r="H15" s="1">
        <v>180000.0</v>
      </c>
      <c r="I15" s="1">
        <v>1.0</v>
      </c>
      <c r="J15" s="1">
        <v>0.0</v>
      </c>
      <c r="K15" s="1">
        <v>180000.0</v>
      </c>
      <c r="L15" s="1" t="s">
        <v>22</v>
      </c>
      <c r="M15" s="1" t="s">
        <v>23</v>
      </c>
      <c r="N15" s="1">
        <v>2.0</v>
      </c>
      <c r="O15" s="1" t="s">
        <v>51</v>
      </c>
      <c r="P15" s="2" t="str">
        <f>IFERROR(__xludf.DUMMYFUNCTION("""COMPUTED_VALUE"""),"Maryam Sani")</f>
        <v>Maryam Sani</v>
      </c>
      <c r="Q15" s="2">
        <f>IFERROR(__xludf.DUMMYFUNCTION("""COMPUTED_VALUE"""),702000.0)</f>
        <v>702000</v>
      </c>
      <c r="R15" s="2" t="str">
        <f>IFERROR(__xludf.DUMMYFUNCTION("""COMPUTED_VALUE"""),"Samsung S23")</f>
        <v>Samsung S23</v>
      </c>
      <c r="S15" s="2">
        <f>IFERROR(__xludf.DUMMYFUNCTION("""COMPUTED_VALUE"""),2.0)</f>
        <v>2</v>
      </c>
      <c r="V15" s="2" t="str">
        <f>IFERROR(__xludf.DUMMYFUNCTION("""COMPUTED_VALUE"""),"Logitech Mouse")</f>
        <v>Logitech Mouse</v>
      </c>
      <c r="W15" s="2">
        <f>IFERROR(__xludf.DUMMYFUNCTION("""COMPUTED_VALUE"""),0.0)</f>
        <v>0</v>
      </c>
      <c r="Z15" s="2" t="str">
        <f>IFERROR(__xludf.DUMMYFUNCTION("""COMPUTED_VALUE"""),"Samsung S23")</f>
        <v>Samsung S23</v>
      </c>
      <c r="AA15" s="2">
        <f>IFERROR(__xludf.DUMMYFUNCTION("""COMPUTED_VALUE"""),4.0)</f>
        <v>4</v>
      </c>
      <c r="AC15" s="2" t="str">
        <f>IFERROR(__xludf.DUMMYFUNCTION("QUERY(A1:O35,""SELECT A,D,F,G,H WHERE H &gt; 700000"")"),"Order_ID")</f>
        <v>Order_ID</v>
      </c>
      <c r="AD15" s="2" t="str">
        <f>IFERROR(__xludf.DUMMYFUNCTION("""COMPUTED_VALUE"""),"Customer_Name")</f>
        <v>Customer_Name</v>
      </c>
      <c r="AE15" s="2" t="str">
        <f>IFERROR(__xludf.DUMMYFUNCTION("""COMPUTED_VALUE"""),"Product_Category")</f>
        <v>Product_Category</v>
      </c>
      <c r="AF15" s="2" t="str">
        <f>IFERROR(__xludf.DUMMYFUNCTION("""COMPUTED_VALUE"""),"Product_Name")</f>
        <v>Product_Name</v>
      </c>
      <c r="AG15" s="2" t="str">
        <f>IFERROR(__xludf.DUMMYFUNCTION("""COMPUTED_VALUE"""),"Unit_Price")</f>
        <v>Unit_Price</v>
      </c>
    </row>
    <row r="16">
      <c r="A16" s="1" t="s">
        <v>84</v>
      </c>
      <c r="B16" s="3">
        <v>45669.0</v>
      </c>
      <c r="C16" s="1" t="s">
        <v>85</v>
      </c>
      <c r="D16" s="1" t="s">
        <v>86</v>
      </c>
      <c r="E16" s="1" t="s">
        <v>49</v>
      </c>
      <c r="F16" s="1" t="s">
        <v>20</v>
      </c>
      <c r="G16" s="1" t="s">
        <v>87</v>
      </c>
      <c r="H16" s="1">
        <v>390000.0</v>
      </c>
      <c r="I16" s="1">
        <v>2.0</v>
      </c>
      <c r="J16" s="1">
        <v>10.0</v>
      </c>
      <c r="K16" s="1">
        <v>702000.0</v>
      </c>
      <c r="L16" s="1" t="s">
        <v>31</v>
      </c>
      <c r="M16" s="1" t="s">
        <v>23</v>
      </c>
      <c r="N16" s="1">
        <v>4.0</v>
      </c>
      <c r="O16" s="1" t="s">
        <v>24</v>
      </c>
      <c r="P16" s="2" t="str">
        <f>IFERROR(__xludf.DUMMYFUNCTION("""COMPUTED_VALUE"""),"Chinedu Okafor")</f>
        <v>Chinedu Okafor</v>
      </c>
      <c r="Q16" s="2">
        <f>IFERROR(__xludf.DUMMYFUNCTION("""COMPUTED_VALUE"""),695000.0)</f>
        <v>695000</v>
      </c>
      <c r="R16" s="2" t="str">
        <f>IFERROR(__xludf.DUMMYFUNCTION("""COMPUTED_VALUE"""),"Tecno Camon 20")</f>
        <v>Tecno Camon 20</v>
      </c>
      <c r="S16" s="2">
        <f>IFERROR(__xludf.DUMMYFUNCTION("""COMPUTED_VALUE"""),2.0)</f>
        <v>2</v>
      </c>
      <c r="V16" s="2" t="str">
        <f>IFERROR(__xludf.DUMMYFUNCTION("""COMPUTED_VALUE"""),"Phone Case")</f>
        <v>Phone Case</v>
      </c>
      <c r="W16" s="2">
        <f>IFERROR(__xludf.DUMMYFUNCTION("""COMPUTED_VALUE"""),0.0)</f>
        <v>0</v>
      </c>
      <c r="Z16" s="2" t="str">
        <f>IFERROR(__xludf.DUMMYFUNCTION("""COMPUTED_VALUE"""),"Infinix zero")</f>
        <v>Infinix zero</v>
      </c>
      <c r="AA16" s="2">
        <f>IFERROR(__xludf.DUMMYFUNCTION("""COMPUTED_VALUE"""),3.0)</f>
        <v>3</v>
      </c>
      <c r="AC16" s="2" t="str">
        <f>IFERROR(__xludf.DUMMYFUNCTION("""COMPUTED_VALUE"""),"ORD1001")</f>
        <v>ORD1001</v>
      </c>
      <c r="AD16" s="2" t="str">
        <f>IFERROR(__xludf.DUMMYFUNCTION("""COMPUTED_VALUE"""),"Musa Abubakar")</f>
        <v>Musa Abubakar</v>
      </c>
      <c r="AE16" s="2" t="str">
        <f>IFERROR(__xludf.DUMMYFUNCTION("""COMPUTED_VALUE"""),"Phone")</f>
        <v>Phone</v>
      </c>
      <c r="AF16" s="2" t="str">
        <f>IFERROR(__xludf.DUMMYFUNCTION("""COMPUTED_VALUE"""),"iPhone 13")</f>
        <v>iPhone 13</v>
      </c>
      <c r="AG16" s="2">
        <f>IFERROR(__xludf.DUMMYFUNCTION("""COMPUTED_VALUE"""),850000.0)</f>
        <v>850000</v>
      </c>
      <c r="AJ16" s="2" t="str">
        <f>IFERROR(__xludf.DUMMYFUNCTION("QUERY(A1:O35,""SELECT A,D,E,F,G WHERE F='Phone'"")"),"Order_ID")</f>
        <v>Order_ID</v>
      </c>
      <c r="AK16" s="2" t="str">
        <f>IFERROR(__xludf.DUMMYFUNCTION("""COMPUTED_VALUE"""),"Customer_Name")</f>
        <v>Customer_Name</v>
      </c>
      <c r="AL16" s="2" t="str">
        <f>IFERROR(__xludf.DUMMYFUNCTION("""COMPUTED_VALUE"""),"State")</f>
        <v>State</v>
      </c>
      <c r="AM16" s="2" t="str">
        <f>IFERROR(__xludf.DUMMYFUNCTION("""COMPUTED_VALUE"""),"Product_Category")</f>
        <v>Product_Category</v>
      </c>
      <c r="AN16" s="2" t="str">
        <f>IFERROR(__xludf.DUMMYFUNCTION("""COMPUTED_VALUE"""),"Product_Name")</f>
        <v>Product_Name</v>
      </c>
    </row>
    <row r="17">
      <c r="A17" s="1" t="s">
        <v>88</v>
      </c>
      <c r="B17" s="3">
        <v>45670.0</v>
      </c>
      <c r="C17" s="1" t="s">
        <v>89</v>
      </c>
      <c r="D17" s="1" t="s">
        <v>90</v>
      </c>
      <c r="E17" s="1" t="s">
        <v>28</v>
      </c>
      <c r="F17" s="1" t="s">
        <v>29</v>
      </c>
      <c r="G17" s="1" t="s">
        <v>30</v>
      </c>
      <c r="H17" s="1">
        <v>620000.0</v>
      </c>
      <c r="I17" s="1">
        <v>1.0</v>
      </c>
      <c r="J17" s="1">
        <v>0.0</v>
      </c>
      <c r="K17" s="1">
        <v>620000.0</v>
      </c>
      <c r="L17" s="1" t="s">
        <v>22</v>
      </c>
      <c r="M17" s="1" t="s">
        <v>23</v>
      </c>
      <c r="N17" s="1">
        <v>6.0</v>
      </c>
      <c r="O17" s="1" t="s">
        <v>24</v>
      </c>
      <c r="P17" s="2" t="str">
        <f>IFERROR(__xludf.DUMMYFUNCTION("""COMPUTED_VALUE"""),"Kabiru Musa")</f>
        <v>Kabiru Musa</v>
      </c>
      <c r="Q17" s="2">
        <f>IFERROR(__xludf.DUMMYFUNCTION("""COMPUTED_VALUE"""),680000.0)</f>
        <v>680000</v>
      </c>
      <c r="R17" s="2" t="str">
        <f>IFERROR(__xludf.DUMMYFUNCTION("""COMPUTED_VALUE"""),"iPhone 14")</f>
        <v>iPhone 14</v>
      </c>
      <c r="S17" s="2">
        <f>IFERROR(__xludf.DUMMYFUNCTION("""COMPUTED_VALUE"""),2.0)</f>
        <v>2</v>
      </c>
      <c r="V17" s="2" t="str">
        <f>IFERROR(__xludf.DUMMYFUNCTION("""COMPUTED_VALUE"""),"Power Bank")</f>
        <v>Power Bank</v>
      </c>
      <c r="W17" s="2">
        <f>IFERROR(__xludf.DUMMYFUNCTION("""COMPUTED_VALUE"""),0.0)</f>
        <v>0</v>
      </c>
      <c r="Z17" s="2" t="str">
        <f>IFERROR(__xludf.DUMMYFUNCTION("""COMPUTED_VALUE"""),"Phone Case")</f>
        <v>Phone Case</v>
      </c>
      <c r="AA17" s="2">
        <f>IFERROR(__xludf.DUMMYFUNCTION("""COMPUTED_VALUE"""),3.0)</f>
        <v>3</v>
      </c>
      <c r="AC17" s="2" t="str">
        <f>IFERROR(__xludf.DUMMYFUNCTION("""COMPUTED_VALUE"""),"ORD1004")</f>
        <v>ORD1004</v>
      </c>
      <c r="AD17" s="2" t="str">
        <f>IFERROR(__xludf.DUMMYFUNCTION("""COMPUTED_VALUE"""),"Tunde Ade")</f>
        <v>Tunde Ade</v>
      </c>
      <c r="AE17" s="2" t="str">
        <f>IFERROR(__xludf.DUMMYFUNCTION("""COMPUTED_VALUE"""),"Phone")</f>
        <v>Phone</v>
      </c>
      <c r="AF17" s="2" t="str">
        <f>IFERROR(__xludf.DUMMYFUNCTION("""COMPUTED_VALUE"""),"Samsung S23")</f>
        <v>Samsung S23</v>
      </c>
      <c r="AG17" s="2">
        <f>IFERROR(__xludf.DUMMYFUNCTION("""COMPUTED_VALUE"""),780000.0)</f>
        <v>780000</v>
      </c>
      <c r="AJ17" s="2" t="str">
        <f>IFERROR(__xludf.DUMMYFUNCTION("""COMPUTED_VALUE"""),"ORD1001")</f>
        <v>ORD1001</v>
      </c>
      <c r="AK17" s="2" t="str">
        <f>IFERROR(__xludf.DUMMYFUNCTION("""COMPUTED_VALUE"""),"Musa Abubakar")</f>
        <v>Musa Abubakar</v>
      </c>
      <c r="AL17" s="2" t="str">
        <f>IFERROR(__xludf.DUMMYFUNCTION("""COMPUTED_VALUE"""),"Lagos")</f>
        <v>Lagos</v>
      </c>
      <c r="AM17" s="2" t="str">
        <f>IFERROR(__xludf.DUMMYFUNCTION("""COMPUTED_VALUE"""),"Phone")</f>
        <v>Phone</v>
      </c>
      <c r="AN17" s="2" t="str">
        <f>IFERROR(__xludf.DUMMYFUNCTION("""COMPUTED_VALUE"""),"iPhone 13")</f>
        <v>iPhone 13</v>
      </c>
    </row>
    <row r="18">
      <c r="A18" s="1" t="s">
        <v>91</v>
      </c>
      <c r="B18" s="3">
        <v>45671.0</v>
      </c>
      <c r="C18" s="1" t="s">
        <v>92</v>
      </c>
      <c r="D18" s="1" t="s">
        <v>93</v>
      </c>
      <c r="E18" s="1" t="s">
        <v>55</v>
      </c>
      <c r="F18" s="1" t="s">
        <v>20</v>
      </c>
      <c r="G18" s="1" t="s">
        <v>94</v>
      </c>
      <c r="H18" s="1">
        <v>180000.0</v>
      </c>
      <c r="I18" s="1">
        <v>1.0</v>
      </c>
      <c r="J18" s="1">
        <v>0.0</v>
      </c>
      <c r="K18" s="1">
        <v>180000.0</v>
      </c>
      <c r="L18" s="1" t="s">
        <v>22</v>
      </c>
      <c r="M18" s="1" t="s">
        <v>23</v>
      </c>
      <c r="N18" s="1">
        <v>3.0</v>
      </c>
      <c r="O18" s="1" t="s">
        <v>24</v>
      </c>
      <c r="P18" s="2" t="str">
        <f>IFERROR(__xludf.DUMMYFUNCTION("""COMPUTED_VALUE"""),"Chioma Nnadi")</f>
        <v>Chioma Nnadi</v>
      </c>
      <c r="Q18" s="2">
        <f>IFERROR(__xludf.DUMMYFUNCTION("""COMPUTED_VALUE"""),646000.0)</f>
        <v>646000</v>
      </c>
      <c r="R18" s="2" t="str">
        <f>IFERROR(__xludf.DUMMYFUNCTION("""COMPUTED_VALUE"""),"Infinix zero")</f>
        <v>Infinix zero</v>
      </c>
      <c r="S18" s="2">
        <f>IFERROR(__xludf.DUMMYFUNCTION("""COMPUTED_VALUE"""),1.0)</f>
        <v>1</v>
      </c>
      <c r="V18" s="2" t="str">
        <f>IFERROR(__xludf.DUMMYFUNCTION("""COMPUTED_VALUE"""),"Tecno Camon 20")</f>
        <v>Tecno Camon 20</v>
      </c>
      <c r="W18" s="2">
        <f>IFERROR(__xludf.DUMMYFUNCTION("""COMPUTED_VALUE"""),0.0)</f>
        <v>0</v>
      </c>
      <c r="Z18" s="2" t="str">
        <f>IFERROR(__xludf.DUMMYFUNCTION("""COMPUTED_VALUE"""),"Power Bank")</f>
        <v>Power Bank</v>
      </c>
      <c r="AA18" s="2">
        <f>IFERROR(__xludf.DUMMYFUNCTION("""COMPUTED_VALUE"""),3.0)</f>
        <v>3</v>
      </c>
      <c r="AC18" s="2" t="str">
        <f>IFERROR(__xludf.DUMMYFUNCTION("""COMPUTED_VALUE"""),"ORD1006")</f>
        <v>ORD1006</v>
      </c>
      <c r="AD18" s="2" t="str">
        <f>IFERROR(__xludf.DUMMYFUNCTION("""COMPUTED_VALUE"""),"Aisha Mohammed")</f>
        <v>Aisha Mohammed</v>
      </c>
      <c r="AE18" s="2" t="str">
        <f>IFERROR(__xludf.DUMMYFUNCTION("""COMPUTED_VALUE"""),"Phone")</f>
        <v>Phone</v>
      </c>
      <c r="AF18" s="2" t="str">
        <f>IFERROR(__xludf.DUMMYFUNCTION("""COMPUTED_VALUE"""),"iPhone 14")</f>
        <v>iPhone 14</v>
      </c>
      <c r="AG18" s="2">
        <f>IFERROR(__xludf.DUMMYFUNCTION("""COMPUTED_VALUE"""),950000.0)</f>
        <v>950000</v>
      </c>
      <c r="AJ18" s="2" t="str">
        <f>IFERROR(__xludf.DUMMYFUNCTION("""COMPUTED_VALUE"""),"ORD1004")</f>
        <v>ORD1004</v>
      </c>
      <c r="AK18" s="2" t="str">
        <f>IFERROR(__xludf.DUMMYFUNCTION("""COMPUTED_VALUE"""),"Tunde Ade")</f>
        <v>Tunde Ade</v>
      </c>
      <c r="AL18" s="2" t="str">
        <f>IFERROR(__xludf.DUMMYFUNCTION("""COMPUTED_VALUE"""),"Lagos")</f>
        <v>Lagos</v>
      </c>
      <c r="AM18" s="2" t="str">
        <f>IFERROR(__xludf.DUMMYFUNCTION("""COMPUTED_VALUE"""),"Phone")</f>
        <v>Phone</v>
      </c>
      <c r="AN18" s="2" t="str">
        <f>IFERROR(__xludf.DUMMYFUNCTION("""COMPUTED_VALUE"""),"Samsung S23")</f>
        <v>Samsung S23</v>
      </c>
    </row>
    <row r="19">
      <c r="A19" s="1" t="s">
        <v>95</v>
      </c>
      <c r="B19" s="3">
        <v>45671.0</v>
      </c>
      <c r="C19" s="1" t="s">
        <v>33</v>
      </c>
      <c r="D19" s="1" t="s">
        <v>34</v>
      </c>
      <c r="E19" s="1" t="s">
        <v>35</v>
      </c>
      <c r="F19" s="1" t="s">
        <v>36</v>
      </c>
      <c r="G19" s="1" t="s">
        <v>60</v>
      </c>
      <c r="H19" s="1">
        <v>8000.0</v>
      </c>
      <c r="I19" s="1">
        <v>2.0</v>
      </c>
      <c r="J19" s="1">
        <v>0.0</v>
      </c>
      <c r="K19" s="1">
        <v>16000.0</v>
      </c>
      <c r="L19" s="1" t="s">
        <v>31</v>
      </c>
      <c r="M19" s="1" t="s">
        <v>23</v>
      </c>
      <c r="N19" s="1">
        <v>2.0</v>
      </c>
      <c r="O19" s="1" t="s">
        <v>24</v>
      </c>
      <c r="P19" s="2" t="str">
        <f>IFERROR(__xludf.DUMMYFUNCTION("""COMPUTED_VALUE"""),"Ibrahim Ali")</f>
        <v>Ibrahim Ali</v>
      </c>
      <c r="Q19" s="2">
        <f>IFERROR(__xludf.DUMMYFUNCTION("""COMPUTED_VALUE"""),620000.0)</f>
        <v>620000</v>
      </c>
      <c r="R19" s="2"/>
      <c r="S19" s="2"/>
      <c r="Z19" s="2"/>
      <c r="AA19" s="2"/>
      <c r="AC19" s="2" t="str">
        <f>IFERROR(__xludf.DUMMYFUNCTION("""COMPUTED_VALUE"""),"ORD1010")</f>
        <v>ORD1010</v>
      </c>
      <c r="AD19" s="2" t="str">
        <f>IFERROR(__xludf.DUMMYFUNCTION("""COMPUTED_VALUE"""),"Grace James")</f>
        <v>Grace James</v>
      </c>
      <c r="AE19" s="2" t="str">
        <f>IFERROR(__xludf.DUMMYFUNCTION("""COMPUTED_VALUE"""),"Laptop")</f>
        <v>Laptop</v>
      </c>
      <c r="AF19" s="2" t="str">
        <f>IFERROR(__xludf.DUMMYFUNCTION("""COMPUTED_VALUE"""),"Macbook Air M2")</f>
        <v>Macbook Air M2</v>
      </c>
      <c r="AG19" s="2">
        <f>IFERROR(__xludf.DUMMYFUNCTION("""COMPUTED_VALUE"""),1250000.0)</f>
        <v>1250000</v>
      </c>
      <c r="AJ19" s="2" t="str">
        <f>IFERROR(__xludf.DUMMYFUNCTION("""COMPUTED_VALUE"""),"ORD1006")</f>
        <v>ORD1006</v>
      </c>
      <c r="AK19" s="2" t="str">
        <f>IFERROR(__xludf.DUMMYFUNCTION("""COMPUTED_VALUE"""),"Aisha Mohammed")</f>
        <v>Aisha Mohammed</v>
      </c>
      <c r="AL19" s="2" t="str">
        <f>IFERROR(__xludf.DUMMYFUNCTION("""COMPUTED_VALUE"""),"Kaduna")</f>
        <v>Kaduna</v>
      </c>
      <c r="AM19" s="2" t="str">
        <f>IFERROR(__xludf.DUMMYFUNCTION("""COMPUTED_VALUE"""),"Phone")</f>
        <v>Phone</v>
      </c>
      <c r="AN19" s="2" t="str">
        <f>IFERROR(__xludf.DUMMYFUNCTION("""COMPUTED_VALUE"""),"iPhone 14")</f>
        <v>iPhone 14</v>
      </c>
    </row>
    <row r="20">
      <c r="A20" s="1" t="s">
        <v>96</v>
      </c>
      <c r="B20" s="3">
        <v>45672.0</v>
      </c>
      <c r="C20" s="1" t="s">
        <v>97</v>
      </c>
      <c r="D20" s="1" t="s">
        <v>98</v>
      </c>
      <c r="E20" s="1" t="s">
        <v>19</v>
      </c>
      <c r="F20" s="1" t="s">
        <v>29</v>
      </c>
      <c r="G20" s="1" t="s">
        <v>69</v>
      </c>
      <c r="H20" s="1">
        <v>1250000.0</v>
      </c>
      <c r="I20" s="1">
        <v>1.0</v>
      </c>
      <c r="J20" s="1">
        <v>5.0</v>
      </c>
      <c r="K20" s="1">
        <v>1187500.0</v>
      </c>
      <c r="L20" s="1" t="s">
        <v>22</v>
      </c>
      <c r="M20" s="1" t="s">
        <v>23</v>
      </c>
      <c r="N20" s="1">
        <v>8.0</v>
      </c>
      <c r="O20" s="1" t="s">
        <v>24</v>
      </c>
      <c r="P20" s="2" t="str">
        <f>IFERROR(__xludf.DUMMYFUNCTION("""COMPUTED_VALUE"""),"Prince Okoro")</f>
        <v>Prince Okoro</v>
      </c>
      <c r="Q20" s="2">
        <f>IFERROR(__xludf.DUMMYFUNCTION("""COMPUTED_VALUE"""),620000.0)</f>
        <v>620000</v>
      </c>
      <c r="T20" s="2" t="str">
        <f t="array" ref="T20">XLOOKUP("Samsung A54", G1:G500, L1:L500)</f>
        <v>Bank  Transfer</v>
      </c>
      <c r="AC20" s="2" t="str">
        <f>IFERROR(__xludf.DUMMYFUNCTION("""COMPUTED_VALUE"""),"ORD1012")</f>
        <v>ORD1012</v>
      </c>
      <c r="AD20" s="2" t="str">
        <f>IFERROR(__xludf.DUMMYFUNCTION("""COMPUTED_VALUE"""),"Ahmed Yusuf")</f>
        <v>Ahmed Yusuf</v>
      </c>
      <c r="AE20" s="2" t="str">
        <f>IFERROR(__xludf.DUMMYFUNCTION("""COMPUTED_VALUE"""),"Phone")</f>
        <v>Phone</v>
      </c>
      <c r="AF20" s="2" t="str">
        <f>IFERROR(__xludf.DUMMYFUNCTION("""COMPUTED_VALUE"""),"iPhone 13")</f>
        <v>iPhone 13</v>
      </c>
      <c r="AG20" s="2">
        <f>IFERROR(__xludf.DUMMYFUNCTION("""COMPUTED_VALUE"""),850000.0)</f>
        <v>850000</v>
      </c>
      <c r="AJ20" s="2" t="str">
        <f>IFERROR(__xludf.DUMMYFUNCTION("""COMPUTED_VALUE"""),"ORD1009")</f>
        <v>ORD1009</v>
      </c>
      <c r="AK20" s="2" t="str">
        <f>IFERROR(__xludf.DUMMYFUNCTION("""COMPUTED_VALUE"""),"Emeka Obi")</f>
        <v>Emeka Obi</v>
      </c>
      <c r="AL20" s="2" t="str">
        <f>IFERROR(__xludf.DUMMYFUNCTION("""COMPUTED_VALUE"""),"Anambra")</f>
        <v>Anambra</v>
      </c>
      <c r="AM20" s="2" t="str">
        <f>IFERROR(__xludf.DUMMYFUNCTION("""COMPUTED_VALUE"""),"Phone")</f>
        <v>Phone</v>
      </c>
      <c r="AN20" s="2" t="str">
        <f>IFERROR(__xludf.DUMMYFUNCTION("""COMPUTED_VALUE"""),"Tecno Camon 20")</f>
        <v>Tecno Camon 20</v>
      </c>
    </row>
    <row r="21">
      <c r="A21" s="1" t="s">
        <v>99</v>
      </c>
      <c r="B21" s="3">
        <v>45673.0</v>
      </c>
      <c r="C21" s="1" t="s">
        <v>100</v>
      </c>
      <c r="D21" s="1" t="s">
        <v>101</v>
      </c>
      <c r="E21" s="1" t="s">
        <v>64</v>
      </c>
      <c r="F21" s="1" t="s">
        <v>20</v>
      </c>
      <c r="G21" s="1" t="s">
        <v>50</v>
      </c>
      <c r="H21" s="1">
        <v>950000.0</v>
      </c>
      <c r="I21" s="1">
        <v>1.0</v>
      </c>
      <c r="J21" s="1">
        <v>0.0</v>
      </c>
      <c r="K21" s="1">
        <v>950000.0</v>
      </c>
      <c r="L21" s="1" t="s">
        <v>42</v>
      </c>
      <c r="M21" s="1" t="s">
        <v>43</v>
      </c>
      <c r="N21" s="1">
        <v>0.0</v>
      </c>
      <c r="O21" s="1" t="s">
        <v>24</v>
      </c>
      <c r="P21" s="2" t="str">
        <f>IFERROR(__xludf.DUMMYFUNCTION("""COMPUTED_VALUE"""),"John Peter")</f>
        <v>John Peter</v>
      </c>
      <c r="Q21" s="2">
        <f>IFERROR(__xludf.DUMMYFUNCTION("""COMPUTED_VALUE"""),513000.0)</f>
        <v>513000</v>
      </c>
      <c r="X21" s="2" t="str">
        <f>IFERROR(__xludf.DUMMYFUNCTION("QUERY(A1:O500,""SELECT A,D,H,K WHERE H &gt; 700000 "")"),"Order_ID")</f>
        <v>Order_ID</v>
      </c>
      <c r="Y21" s="2" t="str">
        <f>IFERROR(__xludf.DUMMYFUNCTION("""COMPUTED_VALUE"""),"Customer_Name")</f>
        <v>Customer_Name</v>
      </c>
      <c r="Z21" s="2" t="str">
        <f>IFERROR(__xludf.DUMMYFUNCTION("""COMPUTED_VALUE"""),"Unit_Price")</f>
        <v>Unit_Price</v>
      </c>
      <c r="AA21" s="2" t="str">
        <f>IFERROR(__xludf.DUMMYFUNCTION("""COMPUTED_VALUE"""),"Total_Amount")</f>
        <v>Total_Amount</v>
      </c>
      <c r="AC21" s="2" t="str">
        <f>IFERROR(__xludf.DUMMYFUNCTION("""COMPUTED_VALUE"""),"ORD1019")</f>
        <v>ORD1019</v>
      </c>
      <c r="AD21" s="2" t="str">
        <f>IFERROR(__xludf.DUMMYFUNCTION("""COMPUTED_VALUE"""),"Segun Adebayo")</f>
        <v>Segun Adebayo</v>
      </c>
      <c r="AE21" s="2" t="str">
        <f>IFERROR(__xludf.DUMMYFUNCTION("""COMPUTED_VALUE"""),"Laptop")</f>
        <v>Laptop</v>
      </c>
      <c r="AF21" s="2" t="str">
        <f>IFERROR(__xludf.DUMMYFUNCTION("""COMPUTED_VALUE"""),"Macbook Air M2")</f>
        <v>Macbook Air M2</v>
      </c>
      <c r="AG21" s="2">
        <f>IFERROR(__xludf.DUMMYFUNCTION("""COMPUTED_VALUE"""),1250000.0)</f>
        <v>1250000</v>
      </c>
      <c r="AJ21" s="2" t="str">
        <f>IFERROR(__xludf.DUMMYFUNCTION("""COMPUTED_VALUE"""),"ORD1012")</f>
        <v>ORD1012</v>
      </c>
      <c r="AK21" s="2" t="str">
        <f>IFERROR(__xludf.DUMMYFUNCTION("""COMPUTED_VALUE"""),"Ahmed Yusuf")</f>
        <v>Ahmed Yusuf</v>
      </c>
      <c r="AL21" s="2" t="str">
        <f>IFERROR(__xludf.DUMMYFUNCTION("""COMPUTED_VALUE"""),"Kano")</f>
        <v>Kano</v>
      </c>
      <c r="AM21" s="2" t="str">
        <f>IFERROR(__xludf.DUMMYFUNCTION("""COMPUTED_VALUE"""),"Phone")</f>
        <v>Phone</v>
      </c>
      <c r="AN21" s="2" t="str">
        <f>IFERROR(__xludf.DUMMYFUNCTION("""COMPUTED_VALUE"""),"iPhone 13")</f>
        <v>iPhone 13</v>
      </c>
    </row>
    <row r="22">
      <c r="A22" s="1" t="s">
        <v>102</v>
      </c>
      <c r="B22" s="3">
        <v>45674.0</v>
      </c>
      <c r="C22" s="1" t="s">
        <v>103</v>
      </c>
      <c r="D22" s="1" t="s">
        <v>104</v>
      </c>
      <c r="E22" s="1" t="s">
        <v>28</v>
      </c>
      <c r="F22" s="1" t="s">
        <v>36</v>
      </c>
      <c r="G22" s="1" t="s">
        <v>45</v>
      </c>
      <c r="H22" s="1">
        <v>25000.0</v>
      </c>
      <c r="I22" s="1">
        <v>1.0</v>
      </c>
      <c r="J22" s="1">
        <v>0.0</v>
      </c>
      <c r="K22" s="1">
        <v>25000.0</v>
      </c>
      <c r="L22" s="1" t="s">
        <v>22</v>
      </c>
      <c r="M22" s="1" t="s">
        <v>23</v>
      </c>
      <c r="N22" s="1">
        <v>2.0</v>
      </c>
      <c r="O22" s="1" t="s">
        <v>24</v>
      </c>
      <c r="P22" s="2" t="str">
        <f>IFERROR(__xludf.DUMMYFUNCTION("""COMPUTED_VALUE"""),"Hajara Sule")</f>
        <v>Hajara Sule</v>
      </c>
      <c r="Q22" s="2">
        <f>IFERROR(__xludf.DUMMYFUNCTION("""COMPUTED_VALUE"""),390000.0)</f>
        <v>390000</v>
      </c>
      <c r="X22" s="2" t="str">
        <f>IFERROR(__xludf.DUMMYFUNCTION("""COMPUTED_VALUE"""),"ORD1001")</f>
        <v>ORD1001</v>
      </c>
      <c r="Y22" s="2" t="str">
        <f>IFERROR(__xludf.DUMMYFUNCTION("""COMPUTED_VALUE"""),"Musa Abubakar")</f>
        <v>Musa Abubakar</v>
      </c>
      <c r="Z22" s="2">
        <f>IFERROR(__xludf.DUMMYFUNCTION("""COMPUTED_VALUE"""),850000.0)</f>
        <v>850000</v>
      </c>
      <c r="AA22" s="2">
        <f>IFERROR(__xludf.DUMMYFUNCTION("""COMPUTED_VALUE"""),807500.0)</f>
        <v>807500</v>
      </c>
      <c r="AC22" s="2" t="str">
        <f>IFERROR(__xludf.DUMMYFUNCTION("""COMPUTED_VALUE"""),"ORD1020")</f>
        <v>ORD1020</v>
      </c>
      <c r="AD22" s="2" t="str">
        <f>IFERROR(__xludf.DUMMYFUNCTION("""COMPUTED_VALUE"""),"Uche Eze")</f>
        <v>Uche Eze</v>
      </c>
      <c r="AE22" s="2" t="str">
        <f>IFERROR(__xludf.DUMMYFUNCTION("""COMPUTED_VALUE"""),"Phone")</f>
        <v>Phone</v>
      </c>
      <c r="AF22" s="2" t="str">
        <f>IFERROR(__xludf.DUMMYFUNCTION("""COMPUTED_VALUE"""),"iPhone 14")</f>
        <v>iPhone 14</v>
      </c>
      <c r="AG22" s="2">
        <f>IFERROR(__xludf.DUMMYFUNCTION("""COMPUTED_VALUE"""),950000.0)</f>
        <v>950000</v>
      </c>
      <c r="AJ22" s="2" t="str">
        <f>IFERROR(__xludf.DUMMYFUNCTION("""COMPUTED_VALUE"""),"ORD1015")</f>
        <v>ORD1015</v>
      </c>
      <c r="AK22" s="2" t="str">
        <f>IFERROR(__xludf.DUMMYFUNCTION("""COMPUTED_VALUE"""),"Maryam Sani")</f>
        <v>Maryam Sani</v>
      </c>
      <c r="AL22" s="2" t="str">
        <f>IFERROR(__xludf.DUMMYFUNCTION("""COMPUTED_VALUE"""),"Kaduna")</f>
        <v>Kaduna</v>
      </c>
      <c r="AM22" s="2" t="str">
        <f>IFERROR(__xludf.DUMMYFUNCTION("""COMPUTED_VALUE"""),"Phone")</f>
        <v>Phone</v>
      </c>
      <c r="AN22" s="2" t="str">
        <f>IFERROR(__xludf.DUMMYFUNCTION("""COMPUTED_VALUE"""),"Samsung A54")</f>
        <v>Samsung A54</v>
      </c>
    </row>
    <row r="23">
      <c r="A23" s="1" t="s">
        <v>105</v>
      </c>
      <c r="B23" s="3">
        <v>45675.0</v>
      </c>
      <c r="C23" s="1" t="s">
        <v>106</v>
      </c>
      <c r="D23" s="1" t="s">
        <v>107</v>
      </c>
      <c r="E23" s="1" t="s">
        <v>19</v>
      </c>
      <c r="F23" s="1" t="s">
        <v>20</v>
      </c>
      <c r="G23" s="1" t="s">
        <v>41</v>
      </c>
      <c r="H23" s="1">
        <v>780000.0</v>
      </c>
      <c r="I23" s="1">
        <v>1.0</v>
      </c>
      <c r="J23" s="1">
        <v>5.0</v>
      </c>
      <c r="K23" s="1">
        <v>741000.0</v>
      </c>
      <c r="L23" s="1" t="s">
        <v>22</v>
      </c>
      <c r="M23" s="1" t="s">
        <v>23</v>
      </c>
      <c r="N23" s="1">
        <v>4.0</v>
      </c>
      <c r="O23" s="1" t="s">
        <v>24</v>
      </c>
      <c r="P23" s="2" t="str">
        <f>IFERROR(__xludf.DUMMYFUNCTION("""COMPUTED_VALUE"""),"Fatima Bello")</f>
        <v>Fatima Bello</v>
      </c>
      <c r="Q23" s="2">
        <f>IFERROR(__xludf.DUMMYFUNCTION("""COMPUTED_VALUE"""),340000.0)</f>
        <v>340000</v>
      </c>
      <c r="X23" s="2" t="str">
        <f>IFERROR(__xludf.DUMMYFUNCTION("""COMPUTED_VALUE"""),"ORD1004")</f>
        <v>ORD1004</v>
      </c>
      <c r="Y23" s="2" t="str">
        <f>IFERROR(__xludf.DUMMYFUNCTION("""COMPUTED_VALUE"""),"Tunde Ade")</f>
        <v>Tunde Ade</v>
      </c>
      <c r="Z23" s="2">
        <f>IFERROR(__xludf.DUMMYFUNCTION("""COMPUTED_VALUE"""),780000.0)</f>
        <v>780000</v>
      </c>
      <c r="AA23" s="2">
        <f>IFERROR(__xludf.DUMMYFUNCTION("""COMPUTED_VALUE"""),780000.0)</f>
        <v>780000</v>
      </c>
      <c r="AC23" s="2" t="str">
        <f>IFERROR(__xludf.DUMMYFUNCTION("""COMPUTED_VALUE"""),"ORD1022")</f>
        <v>ORD1022</v>
      </c>
      <c r="AD23" s="2" t="str">
        <f>IFERROR(__xludf.DUMMYFUNCTION("""COMPUTED_VALUE"""),"David Ojo")</f>
        <v>David Ojo</v>
      </c>
      <c r="AE23" s="2" t="str">
        <f>IFERROR(__xludf.DUMMYFUNCTION("""COMPUTED_VALUE"""),"Phone")</f>
        <v>Phone</v>
      </c>
      <c r="AF23" s="2" t="str">
        <f>IFERROR(__xludf.DUMMYFUNCTION("""COMPUTED_VALUE"""),"Samsung S23")</f>
        <v>Samsung S23</v>
      </c>
      <c r="AG23" s="2">
        <f>IFERROR(__xludf.DUMMYFUNCTION("""COMPUTED_VALUE"""),780000.0)</f>
        <v>780000</v>
      </c>
      <c r="AJ23" s="2" t="str">
        <f>IFERROR(__xludf.DUMMYFUNCTION("""COMPUTED_VALUE"""),"ORD1017")</f>
        <v>ORD1017</v>
      </c>
      <c r="AK23" s="2" t="str">
        <f>IFERROR(__xludf.DUMMYFUNCTION("""COMPUTED_VALUE"""),"Kelvin Brown")</f>
        <v>Kelvin Brown</v>
      </c>
      <c r="AL23" s="2" t="str">
        <f>IFERROR(__xludf.DUMMYFUNCTION("""COMPUTED_VALUE"""),"Rivers")</f>
        <v>Rivers</v>
      </c>
      <c r="AM23" s="2" t="str">
        <f>IFERROR(__xludf.DUMMYFUNCTION("""COMPUTED_VALUE"""),"Phone")</f>
        <v>Phone</v>
      </c>
      <c r="AN23" s="2" t="str">
        <f>IFERROR(__xludf.DUMMYFUNCTION("""COMPUTED_VALUE"""),"Infinix zero")</f>
        <v>Infinix zero</v>
      </c>
    </row>
    <row r="24">
      <c r="A24" s="1" t="s">
        <v>108</v>
      </c>
      <c r="B24" s="3">
        <v>45675.0</v>
      </c>
      <c r="C24" s="1" t="s">
        <v>109</v>
      </c>
      <c r="D24" s="1" t="s">
        <v>110</v>
      </c>
      <c r="E24" s="1" t="s">
        <v>79</v>
      </c>
      <c r="F24" s="1" t="s">
        <v>29</v>
      </c>
      <c r="G24" s="1" t="s">
        <v>56</v>
      </c>
      <c r="H24" s="1">
        <v>540000.0</v>
      </c>
      <c r="I24" s="1">
        <v>2.0</v>
      </c>
      <c r="J24" s="1">
        <v>10.0</v>
      </c>
      <c r="K24" s="1">
        <v>972000.0</v>
      </c>
      <c r="L24" s="1" t="s">
        <v>111</v>
      </c>
      <c r="M24" s="1" t="s">
        <v>23</v>
      </c>
      <c r="N24" s="1">
        <v>5.0</v>
      </c>
      <c r="O24" s="1" t="s">
        <v>24</v>
      </c>
      <c r="P24" s="2" t="str">
        <f>IFERROR(__xludf.DUMMYFUNCTION("""COMPUTED_VALUE"""),"Emeka Obi")</f>
        <v>Emeka Obi</v>
      </c>
      <c r="Q24" s="2">
        <f>IFERROR(__xludf.DUMMYFUNCTION("""COMPUTED_VALUE"""),220000.0)</f>
        <v>220000</v>
      </c>
      <c r="X24" s="2" t="str">
        <f>IFERROR(__xludf.DUMMYFUNCTION("""COMPUTED_VALUE"""),"ORD1006")</f>
        <v>ORD1006</v>
      </c>
      <c r="Y24" s="2" t="str">
        <f>IFERROR(__xludf.DUMMYFUNCTION("""COMPUTED_VALUE"""),"Aisha Mohammed")</f>
        <v>Aisha Mohammed</v>
      </c>
      <c r="Z24" s="2">
        <f>IFERROR(__xludf.DUMMYFUNCTION("""COMPUTED_VALUE"""),950000.0)</f>
        <v>950000</v>
      </c>
      <c r="AA24" s="2">
        <f>IFERROR(__xludf.DUMMYFUNCTION("""COMPUTED_VALUE"""),883500.0)</f>
        <v>883500</v>
      </c>
      <c r="AC24" s="2" t="str">
        <f>IFERROR(__xludf.DUMMYFUNCTION("""COMPUTED_VALUE"""),"ORD1030")</f>
        <v>ORD1030</v>
      </c>
      <c r="AD24" s="2" t="str">
        <f>IFERROR(__xludf.DUMMYFUNCTION("""COMPUTED_VALUE"""),"Deborah White")</f>
        <v>Deborah White</v>
      </c>
      <c r="AE24" s="2" t="str">
        <f>IFERROR(__xludf.DUMMYFUNCTION("""COMPUTED_VALUE"""),"Phone")</f>
        <v>Phone</v>
      </c>
      <c r="AF24" s="2" t="str">
        <f>IFERROR(__xludf.DUMMYFUNCTION("""COMPUTED_VALUE"""),"iPhone 13")</f>
        <v>iPhone 13</v>
      </c>
      <c r="AG24" s="2">
        <f>IFERROR(__xludf.DUMMYFUNCTION("""COMPUTED_VALUE"""),850000.0)</f>
        <v>850000</v>
      </c>
      <c r="AJ24" s="2" t="str">
        <f>IFERROR(__xludf.DUMMYFUNCTION("""COMPUTED_VALUE"""),"ORD1020")</f>
        <v>ORD1020</v>
      </c>
      <c r="AK24" s="2" t="str">
        <f>IFERROR(__xludf.DUMMYFUNCTION("""COMPUTED_VALUE"""),"Uche Eze")</f>
        <v>Uche Eze</v>
      </c>
      <c r="AL24" s="2" t="str">
        <f>IFERROR(__xludf.DUMMYFUNCTION("""COMPUTED_VALUE"""),"Anambra")</f>
        <v>Anambra</v>
      </c>
      <c r="AM24" s="2" t="str">
        <f>IFERROR(__xludf.DUMMYFUNCTION("""COMPUTED_VALUE"""),"Phone")</f>
        <v>Phone</v>
      </c>
      <c r="AN24" s="2" t="str">
        <f>IFERROR(__xludf.DUMMYFUNCTION("""COMPUTED_VALUE"""),"iPhone 14")</f>
        <v>iPhone 14</v>
      </c>
    </row>
    <row r="25">
      <c r="A25" s="1" t="s">
        <v>112</v>
      </c>
      <c r="B25" s="3">
        <v>45676.0</v>
      </c>
      <c r="C25" s="1" t="s">
        <v>113</v>
      </c>
      <c r="D25" s="1" t="s">
        <v>18</v>
      </c>
      <c r="E25" s="1" t="s">
        <v>19</v>
      </c>
      <c r="F25" s="1" t="s">
        <v>36</v>
      </c>
      <c r="G25" s="1" t="s">
        <v>71</v>
      </c>
      <c r="H25" s="1">
        <v>20000.0</v>
      </c>
      <c r="I25" s="1">
        <v>1.0</v>
      </c>
      <c r="J25" s="1">
        <v>0.0</v>
      </c>
      <c r="K25" s="1">
        <v>20000.0</v>
      </c>
      <c r="L25" s="1" t="s">
        <v>22</v>
      </c>
      <c r="M25" s="1" t="s">
        <v>23</v>
      </c>
      <c r="N25" s="1">
        <v>1.0</v>
      </c>
      <c r="O25" s="1" t="s">
        <v>24</v>
      </c>
      <c r="P25" s="2" t="str">
        <f>IFERROR(__xludf.DUMMYFUNCTION("""COMPUTED_VALUE"""),"Nneka Umeh")</f>
        <v>Nneka Umeh</v>
      </c>
      <c r="Q25" s="2">
        <f>IFERROR(__xludf.DUMMYFUNCTION("""COMPUTED_VALUE"""),220000.0)</f>
        <v>220000</v>
      </c>
      <c r="X25" s="2" t="str">
        <f>IFERROR(__xludf.DUMMYFUNCTION("""COMPUTED_VALUE"""),"ORD1010")</f>
        <v>ORD1010</v>
      </c>
      <c r="Y25" s="2" t="str">
        <f>IFERROR(__xludf.DUMMYFUNCTION("""COMPUTED_VALUE"""),"Grace James")</f>
        <v>Grace James</v>
      </c>
      <c r="Z25" s="2">
        <f>IFERROR(__xludf.DUMMYFUNCTION("""COMPUTED_VALUE"""),1250000.0)</f>
        <v>1250000</v>
      </c>
      <c r="AA25" s="2">
        <f>IFERROR(__xludf.DUMMYFUNCTION("""COMPUTED_VALUE"""),1212500.0)</f>
        <v>1212500</v>
      </c>
      <c r="AJ25" s="2" t="str">
        <f>IFERROR(__xludf.DUMMYFUNCTION("""COMPUTED_VALUE"""),"ORD1022")</f>
        <v>ORD1022</v>
      </c>
      <c r="AK25" s="2" t="str">
        <f>IFERROR(__xludf.DUMMYFUNCTION("""COMPUTED_VALUE"""),"David Ojo")</f>
        <v>David Ojo</v>
      </c>
      <c r="AL25" s="2" t="str">
        <f>IFERROR(__xludf.DUMMYFUNCTION("""COMPUTED_VALUE"""),"Lagos")</f>
        <v>Lagos</v>
      </c>
      <c r="AM25" s="2" t="str">
        <f>IFERROR(__xludf.DUMMYFUNCTION("""COMPUTED_VALUE"""),"Phone")</f>
        <v>Phone</v>
      </c>
      <c r="AN25" s="2" t="str">
        <f>IFERROR(__xludf.DUMMYFUNCTION("""COMPUTED_VALUE"""),"Samsung S23")</f>
        <v>Samsung S23</v>
      </c>
    </row>
    <row r="26">
      <c r="A26" s="1" t="s">
        <v>114</v>
      </c>
      <c r="B26" s="3">
        <v>45677.0</v>
      </c>
      <c r="C26" s="1" t="s">
        <v>115</v>
      </c>
      <c r="D26" s="1" t="s">
        <v>116</v>
      </c>
      <c r="E26" s="1" t="s">
        <v>28</v>
      </c>
      <c r="F26" s="1" t="s">
        <v>20</v>
      </c>
      <c r="G26" s="1" t="s">
        <v>65</v>
      </c>
      <c r="H26" s="1">
        <v>220000.0</v>
      </c>
      <c r="I26" s="1">
        <v>1.0</v>
      </c>
      <c r="J26" s="1">
        <v>0.0</v>
      </c>
      <c r="K26" s="1">
        <v>220000.0</v>
      </c>
      <c r="L26" s="1" t="s">
        <v>22</v>
      </c>
      <c r="M26" s="1" t="s">
        <v>23</v>
      </c>
      <c r="N26" s="1">
        <v>3.0</v>
      </c>
      <c r="O26" s="1" t="s">
        <v>24</v>
      </c>
      <c r="P26" s="2" t="str">
        <f>IFERROR(__xludf.DUMMYFUNCTION("""COMPUTED_VALUE"""),"Kelvin Brown")</f>
        <v>Kelvin Brown</v>
      </c>
      <c r="Q26" s="2">
        <f>IFERROR(__xludf.DUMMYFUNCTION("""COMPUTED_VALUE"""),180000.0)</f>
        <v>180000</v>
      </c>
      <c r="X26" s="2" t="str">
        <f>IFERROR(__xludf.DUMMYFUNCTION("""COMPUTED_VALUE"""),"ORD1012")</f>
        <v>ORD1012</v>
      </c>
      <c r="Y26" s="2" t="str">
        <f>IFERROR(__xludf.DUMMYFUNCTION("""COMPUTED_VALUE"""),"Ahmed Yusuf")</f>
        <v>Ahmed Yusuf</v>
      </c>
      <c r="Z26" s="2">
        <f>IFERROR(__xludf.DUMMYFUNCTION("""COMPUTED_VALUE"""),850000.0)</f>
        <v>850000</v>
      </c>
      <c r="AA26" s="2">
        <f>IFERROR(__xludf.DUMMYFUNCTION("""COMPUTED_VALUE"""),850000.0)</f>
        <v>850000</v>
      </c>
      <c r="AJ26" s="2" t="str">
        <f>IFERROR(__xludf.DUMMYFUNCTION("""COMPUTED_VALUE"""),"ORD1025")</f>
        <v>ORD1025</v>
      </c>
      <c r="AK26" s="2" t="str">
        <f>IFERROR(__xludf.DUMMYFUNCTION("""COMPUTED_VALUE"""),"Nneka Umeh")</f>
        <v>Nneka Umeh</v>
      </c>
      <c r="AL26" s="2" t="str">
        <f>IFERROR(__xludf.DUMMYFUNCTION("""COMPUTED_VALUE"""),"Abuja")</f>
        <v>Abuja</v>
      </c>
      <c r="AM26" s="2" t="str">
        <f>IFERROR(__xludf.DUMMYFUNCTION("""COMPUTED_VALUE"""),"Phone")</f>
        <v>Phone</v>
      </c>
      <c r="AN26" s="2" t="str">
        <f>IFERROR(__xludf.DUMMYFUNCTION("""COMPUTED_VALUE"""),"Tecno Camon 20")</f>
        <v>Tecno Camon 20</v>
      </c>
    </row>
    <row r="27">
      <c r="A27" s="1" t="s">
        <v>117</v>
      </c>
      <c r="B27" s="3">
        <v>45678.0</v>
      </c>
      <c r="C27" s="1" t="s">
        <v>118</v>
      </c>
      <c r="D27" s="1" t="s">
        <v>119</v>
      </c>
      <c r="E27" s="1" t="s">
        <v>35</v>
      </c>
      <c r="F27" s="1" t="s">
        <v>29</v>
      </c>
      <c r="G27" s="1" t="s">
        <v>80</v>
      </c>
      <c r="H27" s="1">
        <v>680000.0</v>
      </c>
      <c r="I27" s="1">
        <v>1.0</v>
      </c>
      <c r="J27" s="1">
        <v>0.0</v>
      </c>
      <c r="K27" s="1">
        <v>680000.0</v>
      </c>
      <c r="L27" s="1" t="s">
        <v>111</v>
      </c>
      <c r="M27" s="1" t="s">
        <v>23</v>
      </c>
      <c r="N27" s="1">
        <v>6.0</v>
      </c>
      <c r="O27" s="1" t="s">
        <v>24</v>
      </c>
      <c r="P27" s="2" t="str">
        <f>IFERROR(__xludf.DUMMYFUNCTION("""COMPUTED_VALUE"""),"Victor Paul")</f>
        <v>Victor Paul</v>
      </c>
      <c r="Q27" s="2">
        <f>IFERROR(__xludf.DUMMYFUNCTION("""COMPUTED_VALUE"""),180000.0)</f>
        <v>180000</v>
      </c>
      <c r="X27" s="2" t="str">
        <f>IFERROR(__xludf.DUMMYFUNCTION("""COMPUTED_VALUE"""),"ORD1019")</f>
        <v>ORD1019</v>
      </c>
      <c r="Y27" s="2" t="str">
        <f>IFERROR(__xludf.DUMMYFUNCTION("""COMPUTED_VALUE"""),"Segun Adebayo")</f>
        <v>Segun Adebayo</v>
      </c>
      <c r="Z27" s="2">
        <f>IFERROR(__xludf.DUMMYFUNCTION("""COMPUTED_VALUE"""),1250000.0)</f>
        <v>1250000</v>
      </c>
      <c r="AA27" s="2">
        <f>IFERROR(__xludf.DUMMYFUNCTION("""COMPUTED_VALUE"""),1187500.0)</f>
        <v>1187500</v>
      </c>
      <c r="AJ27" s="2" t="str">
        <f>IFERROR(__xludf.DUMMYFUNCTION("""COMPUTED_VALUE"""),"ORD1028")</f>
        <v>ORD1028</v>
      </c>
      <c r="AK27" s="2" t="str">
        <f>IFERROR(__xludf.DUMMYFUNCTION("""COMPUTED_VALUE"""),"Hajara Sule")</f>
        <v>Hajara Sule</v>
      </c>
      <c r="AL27" s="2" t="str">
        <f>IFERROR(__xludf.DUMMYFUNCTION("""COMPUTED_VALUE"""),"Kaduna")</f>
        <v>Kaduna</v>
      </c>
      <c r="AM27" s="2" t="str">
        <f>IFERROR(__xludf.DUMMYFUNCTION("""COMPUTED_VALUE"""),"Phone")</f>
        <v>Phone</v>
      </c>
      <c r="AN27" s="2" t="str">
        <f>IFERROR(__xludf.DUMMYFUNCTION("""COMPUTED_VALUE"""),"Samsung A54")</f>
        <v>Samsung A54</v>
      </c>
    </row>
    <row r="28">
      <c r="A28" s="1" t="s">
        <v>120</v>
      </c>
      <c r="B28" s="3">
        <v>45679.0</v>
      </c>
      <c r="C28" s="1" t="s">
        <v>121</v>
      </c>
      <c r="D28" s="1" t="s">
        <v>122</v>
      </c>
      <c r="E28" s="1" t="s">
        <v>55</v>
      </c>
      <c r="F28" s="1" t="s">
        <v>36</v>
      </c>
      <c r="G28" s="1" t="s">
        <v>37</v>
      </c>
      <c r="H28" s="1">
        <v>180000.0</v>
      </c>
      <c r="I28" s="1">
        <v>1.0</v>
      </c>
      <c r="J28" s="1">
        <v>5.0</v>
      </c>
      <c r="K28" s="1">
        <v>171000.0</v>
      </c>
      <c r="L28" s="1" t="s">
        <v>22</v>
      </c>
      <c r="M28" s="1" t="s">
        <v>23</v>
      </c>
      <c r="N28" s="1">
        <v>3.0</v>
      </c>
      <c r="O28" s="1" t="s">
        <v>51</v>
      </c>
      <c r="P28" s="2" t="str">
        <f>IFERROR(__xludf.DUMMYFUNCTION("""COMPUTED_VALUE"""),"Daniel Kings")</f>
        <v>Daniel Kings</v>
      </c>
      <c r="Q28" s="2">
        <f>IFERROR(__xludf.DUMMYFUNCTION("""COMPUTED_VALUE"""),171000.0)</f>
        <v>171000</v>
      </c>
      <c r="X28" s="2" t="str">
        <f>IFERROR(__xludf.DUMMYFUNCTION("""COMPUTED_VALUE"""),"ORD1020")</f>
        <v>ORD1020</v>
      </c>
      <c r="Y28" s="2" t="str">
        <f>IFERROR(__xludf.DUMMYFUNCTION("""COMPUTED_VALUE"""),"Uche Eze")</f>
        <v>Uche Eze</v>
      </c>
      <c r="Z28" s="2">
        <f>IFERROR(__xludf.DUMMYFUNCTION("""COMPUTED_VALUE"""),950000.0)</f>
        <v>950000</v>
      </c>
      <c r="AA28" s="2">
        <f>IFERROR(__xludf.DUMMYFUNCTION("""COMPUTED_VALUE"""),950000.0)</f>
        <v>950000</v>
      </c>
      <c r="AJ28" s="2" t="str">
        <f>IFERROR(__xludf.DUMMYFUNCTION("""COMPUTED_VALUE"""),"ORD1030")</f>
        <v>ORD1030</v>
      </c>
      <c r="AK28" s="2" t="str">
        <f>IFERROR(__xludf.DUMMYFUNCTION("""COMPUTED_VALUE"""),"Deborah White")</f>
        <v>Deborah White</v>
      </c>
      <c r="AL28" s="2" t="str">
        <f>IFERROR(__xludf.DUMMYFUNCTION("""COMPUTED_VALUE"""),"Abuja")</f>
        <v>Abuja</v>
      </c>
      <c r="AM28" s="2" t="str">
        <f>IFERROR(__xludf.DUMMYFUNCTION("""COMPUTED_VALUE"""),"Phone")</f>
        <v>Phone</v>
      </c>
      <c r="AN28" s="2" t="str">
        <f>IFERROR(__xludf.DUMMYFUNCTION("""COMPUTED_VALUE"""),"iPhone 13")</f>
        <v>iPhone 13</v>
      </c>
    </row>
    <row r="29">
      <c r="A29" s="1" t="s">
        <v>123</v>
      </c>
      <c r="B29" s="3">
        <v>45680.0</v>
      </c>
      <c r="C29" s="1" t="s">
        <v>124</v>
      </c>
      <c r="D29" s="1" t="s">
        <v>125</v>
      </c>
      <c r="E29" s="1" t="s">
        <v>49</v>
      </c>
      <c r="F29" s="1" t="s">
        <v>20</v>
      </c>
      <c r="G29" s="1" t="s">
        <v>87</v>
      </c>
      <c r="H29" s="1">
        <v>390000.0</v>
      </c>
      <c r="I29" s="1">
        <v>1.0</v>
      </c>
      <c r="J29" s="1">
        <v>0.0</v>
      </c>
      <c r="K29" s="1">
        <v>390000.0</v>
      </c>
      <c r="L29" s="1" t="s">
        <v>22</v>
      </c>
      <c r="M29" s="1" t="s">
        <v>23</v>
      </c>
      <c r="N29" s="1">
        <v>4.0</v>
      </c>
      <c r="O29" s="1" t="s">
        <v>24</v>
      </c>
      <c r="P29" s="2" t="str">
        <f>IFERROR(__xludf.DUMMYFUNCTION("""COMPUTED_VALUE"""),"Blessing Udo")</f>
        <v>Blessing Udo</v>
      </c>
      <c r="Q29" s="2">
        <f>IFERROR(__xludf.DUMMYFUNCTION("""COMPUTED_VALUE"""),40000.0)</f>
        <v>40000</v>
      </c>
      <c r="X29" s="2" t="str">
        <f>IFERROR(__xludf.DUMMYFUNCTION("""COMPUTED_VALUE"""),"ORD1022")</f>
        <v>ORD1022</v>
      </c>
      <c r="Y29" s="2" t="str">
        <f>IFERROR(__xludf.DUMMYFUNCTION("""COMPUTED_VALUE"""),"David Ojo")</f>
        <v>David Ojo</v>
      </c>
      <c r="Z29" s="2">
        <f>IFERROR(__xludf.DUMMYFUNCTION("""COMPUTED_VALUE"""),780000.0)</f>
        <v>780000</v>
      </c>
      <c r="AA29" s="2">
        <f>IFERROR(__xludf.DUMMYFUNCTION("""COMPUTED_VALUE"""),741000.0)</f>
        <v>741000</v>
      </c>
    </row>
    <row r="30">
      <c r="A30" s="1" t="s">
        <v>126</v>
      </c>
      <c r="B30" s="3">
        <v>45681.0</v>
      </c>
      <c r="C30" s="1" t="s">
        <v>127</v>
      </c>
      <c r="D30" s="1" t="s">
        <v>128</v>
      </c>
      <c r="E30" s="1" t="s">
        <v>19</v>
      </c>
      <c r="F30" s="1" t="s">
        <v>29</v>
      </c>
      <c r="G30" s="1" t="s">
        <v>30</v>
      </c>
      <c r="H30" s="1">
        <v>620000.0</v>
      </c>
      <c r="I30" s="1">
        <v>1.0</v>
      </c>
      <c r="J30" s="1">
        <v>0.0</v>
      </c>
      <c r="K30" s="1">
        <v>620000.0</v>
      </c>
      <c r="L30" s="1" t="s">
        <v>22</v>
      </c>
      <c r="M30" s="1" t="s">
        <v>75</v>
      </c>
      <c r="N30" s="1">
        <v>0.0</v>
      </c>
      <c r="O30" s="1" t="s">
        <v>24</v>
      </c>
      <c r="P30" s="2" t="str">
        <f>IFERROR(__xludf.DUMMYFUNCTION("""COMPUTED_VALUE"""),"Amina Idris")</f>
        <v>Amina Idris</v>
      </c>
      <c r="Q30" s="2">
        <f>IFERROR(__xludf.DUMMYFUNCTION("""COMPUTED_VALUE"""),25000.0)</f>
        <v>25000</v>
      </c>
      <c r="X30" s="2" t="str">
        <f>IFERROR(__xludf.DUMMYFUNCTION("""COMPUTED_VALUE"""),"ORD1030")</f>
        <v>ORD1030</v>
      </c>
      <c r="Y30" s="2" t="str">
        <f>IFERROR(__xludf.DUMMYFUNCTION("""COMPUTED_VALUE"""),"Deborah White")</f>
        <v>Deborah White</v>
      </c>
      <c r="Z30" s="2">
        <f>IFERROR(__xludf.DUMMYFUNCTION("""COMPUTED_VALUE"""),850000.0)</f>
        <v>850000</v>
      </c>
      <c r="AA30" s="2">
        <f>IFERROR(__xludf.DUMMYFUNCTION("""COMPUTED_VALUE"""),850000.0)</f>
        <v>850000</v>
      </c>
    </row>
    <row r="31">
      <c r="A31" s="1" t="s">
        <v>129</v>
      </c>
      <c r="B31" s="3">
        <v>45682.0</v>
      </c>
      <c r="C31" s="1" t="s">
        <v>130</v>
      </c>
      <c r="D31" s="1" t="s">
        <v>131</v>
      </c>
      <c r="E31" s="1" t="s">
        <v>28</v>
      </c>
      <c r="F31" s="1" t="s">
        <v>20</v>
      </c>
      <c r="G31" s="1" t="s">
        <v>21</v>
      </c>
      <c r="H31" s="1">
        <v>850000.0</v>
      </c>
      <c r="I31" s="1">
        <v>1.0</v>
      </c>
      <c r="J31" s="1">
        <v>0.0</v>
      </c>
      <c r="K31" s="1">
        <v>850000.0</v>
      </c>
      <c r="L31" s="1" t="s">
        <v>111</v>
      </c>
      <c r="M31" s="1" t="s">
        <v>23</v>
      </c>
      <c r="N31" s="1">
        <v>5.0</v>
      </c>
      <c r="O31" s="1" t="s">
        <v>24</v>
      </c>
    </row>
    <row r="33">
      <c r="S33" s="2" t="str">
        <f>IFERROR(__xludf.DUMMYFUNCTION("QUERY(A1:O500,""SELECT A,D,F,G WHERE F='Accessory'"")"),"Order_ID")</f>
        <v>Order_ID</v>
      </c>
      <c r="T33" s="2" t="str">
        <f>IFERROR(__xludf.DUMMYFUNCTION("""COMPUTED_VALUE"""),"Customer_Name")</f>
        <v>Customer_Name</v>
      </c>
      <c r="U33" s="2" t="str">
        <f>IFERROR(__xludf.DUMMYFUNCTION("""COMPUTED_VALUE"""),"Product_Category")</f>
        <v>Product_Category</v>
      </c>
      <c r="V33" s="2" t="str">
        <f>IFERROR(__xludf.DUMMYFUNCTION("""COMPUTED_VALUE"""),"Product_Name")</f>
        <v>Product_Name</v>
      </c>
    </row>
    <row r="34">
      <c r="L34" s="2" t="str">
        <f>IFERROR(__xludf.DUMMYFUNCTION("QUERY(A1:O31,""SELECT A,D,E WHERE E='Lagos'"")"),"Order_ID")</f>
        <v>Order_ID</v>
      </c>
      <c r="M34" s="2" t="str">
        <f>IFERROR(__xludf.DUMMYFUNCTION("""COMPUTED_VALUE"""),"Customer_Name")</f>
        <v>Customer_Name</v>
      </c>
      <c r="N34" s="2" t="str">
        <f>IFERROR(__xludf.DUMMYFUNCTION("""COMPUTED_VALUE"""),"State")</f>
        <v>State</v>
      </c>
      <c r="S34" s="2" t="str">
        <f>IFERROR(__xludf.DUMMYFUNCTION("""COMPUTED_VALUE"""),"ORD1003")</f>
        <v>ORD1003</v>
      </c>
      <c r="T34" s="2" t="str">
        <f>IFERROR(__xludf.DUMMYFUNCTION("""COMPUTED_VALUE"""),"Fatima Bello")</f>
        <v>Fatima Bello</v>
      </c>
      <c r="U34" s="2" t="str">
        <f>IFERROR(__xludf.DUMMYFUNCTION("""COMPUTED_VALUE"""),"Accessory")</f>
        <v>Accessory</v>
      </c>
      <c r="V34" s="2" t="str">
        <f>IFERROR(__xludf.DUMMYFUNCTION("""COMPUTED_VALUE"""),"Airpods Pro")</f>
        <v>Airpods Pro</v>
      </c>
    </row>
    <row r="35">
      <c r="L35" s="2" t="str">
        <f>IFERROR(__xludf.DUMMYFUNCTION("""COMPUTED_VALUE"""),"ORD1001")</f>
        <v>ORD1001</v>
      </c>
      <c r="M35" s="2" t="str">
        <f>IFERROR(__xludf.DUMMYFUNCTION("""COMPUTED_VALUE"""),"Musa Abubakar")</f>
        <v>Musa Abubakar</v>
      </c>
      <c r="N35" s="2" t="str">
        <f>IFERROR(__xludf.DUMMYFUNCTION("""COMPUTED_VALUE"""),"Lagos")</f>
        <v>Lagos</v>
      </c>
      <c r="S35" s="2" t="str">
        <f>IFERROR(__xludf.DUMMYFUNCTION("""COMPUTED_VALUE"""),"ORD1005")</f>
        <v>ORD1005</v>
      </c>
      <c r="T35" s="2" t="str">
        <f>IFERROR(__xludf.DUMMYFUNCTION("""COMPUTED_VALUE"""),"Chinedu Okafor")</f>
        <v>Chinedu Okafor</v>
      </c>
      <c r="U35" s="2" t="str">
        <f>IFERROR(__xludf.DUMMYFUNCTION("""COMPUTED_VALUE"""),"Accessory")</f>
        <v>Accessory</v>
      </c>
      <c r="V35" s="2" t="str">
        <f>IFERROR(__xludf.DUMMYFUNCTION("""COMPUTED_VALUE"""),"Logitech Mouse")</f>
        <v>Logitech Mouse</v>
      </c>
    </row>
    <row r="36">
      <c r="L36" s="2" t="str">
        <f>IFERROR(__xludf.DUMMYFUNCTION("""COMPUTED_VALUE"""),"ORD1004")</f>
        <v>ORD1004</v>
      </c>
      <c r="M36" s="2" t="str">
        <f>IFERROR(__xludf.DUMMYFUNCTION("""COMPUTED_VALUE"""),"Tunde Ade")</f>
        <v>Tunde Ade</v>
      </c>
      <c r="N36" s="2" t="str">
        <f>IFERROR(__xludf.DUMMYFUNCTION("""COMPUTED_VALUE"""),"Lagos")</f>
        <v>Lagos</v>
      </c>
      <c r="S36" s="2" t="str">
        <f>IFERROR(__xludf.DUMMYFUNCTION("""COMPUTED_VALUE"""),"ORD1008")</f>
        <v>ORD1008</v>
      </c>
      <c r="T36" s="2" t="str">
        <f>IFERROR(__xludf.DUMMYFUNCTION("""COMPUTED_VALUE"""),"Blessing Udo")</f>
        <v>Blessing Udo</v>
      </c>
      <c r="U36" s="2" t="str">
        <f>IFERROR(__xludf.DUMMYFUNCTION("""COMPUTED_VALUE"""),"Accessory")</f>
        <v>Accessory</v>
      </c>
      <c r="V36" s="2" t="str">
        <f>IFERROR(__xludf.DUMMYFUNCTION("""COMPUTED_VALUE"""),"Phone Case")</f>
        <v>Phone Case</v>
      </c>
    </row>
    <row r="37">
      <c r="L37" s="2" t="str">
        <f>IFERROR(__xludf.DUMMYFUNCTION("""COMPUTED_VALUE"""),"ORD1008")</f>
        <v>ORD1008</v>
      </c>
      <c r="M37" s="2" t="str">
        <f>IFERROR(__xludf.DUMMYFUNCTION("""COMPUTED_VALUE"""),"Blessing Udo")</f>
        <v>Blessing Udo</v>
      </c>
      <c r="N37" s="2" t="str">
        <f>IFERROR(__xludf.DUMMYFUNCTION("""COMPUTED_VALUE"""),"Lagos")</f>
        <v>Lagos</v>
      </c>
      <c r="S37" s="2" t="str">
        <f>IFERROR(__xludf.DUMMYFUNCTION("""COMPUTED_VALUE"""),"ORD1011")</f>
        <v>ORD1011</v>
      </c>
      <c r="T37" s="2" t="str">
        <f>IFERROR(__xludf.DUMMYFUNCTION("""COMPUTED_VALUE"""),"Musa Abubakar")</f>
        <v>Musa Abubakar</v>
      </c>
      <c r="U37" s="2" t="str">
        <f>IFERROR(__xludf.DUMMYFUNCTION("""COMPUTED_VALUE"""),"Accessory")</f>
        <v>Accessory</v>
      </c>
      <c r="V37" s="2" t="str">
        <f>IFERROR(__xludf.DUMMYFUNCTION("""COMPUTED_VALUE"""),"Power Bank")</f>
        <v>Power Bank</v>
      </c>
    </row>
    <row r="38">
      <c r="L38" s="2" t="str">
        <f>IFERROR(__xludf.DUMMYFUNCTION("""COMPUTED_VALUE"""),"ORD1010")</f>
        <v>ORD1010</v>
      </c>
      <c r="M38" s="2" t="str">
        <f>IFERROR(__xludf.DUMMYFUNCTION("""COMPUTED_VALUE"""),"Grace James")</f>
        <v>Grace James</v>
      </c>
      <c r="N38" s="2" t="str">
        <f>IFERROR(__xludf.DUMMYFUNCTION("""COMPUTED_VALUE"""),"Lagos")</f>
        <v>Lagos</v>
      </c>
      <c r="S38" s="2" t="str">
        <f>IFERROR(__xludf.DUMMYFUNCTION("""COMPUTED_VALUE"""),"ORD1014")</f>
        <v>ORD1014</v>
      </c>
      <c r="T38" s="2" t="str">
        <f>IFERROR(__xludf.DUMMYFUNCTION("""COMPUTED_VALUE"""),"Victor Paul")</f>
        <v>Victor Paul</v>
      </c>
      <c r="U38" s="2" t="str">
        <f>IFERROR(__xludf.DUMMYFUNCTION("""COMPUTED_VALUE"""),"Accessory")</f>
        <v>Accessory</v>
      </c>
      <c r="V38" s="2" t="str">
        <f>IFERROR(__xludf.DUMMYFUNCTION("""COMPUTED_VALUE"""),"Airpods Pro")</f>
        <v>Airpods Pro</v>
      </c>
    </row>
    <row r="39">
      <c r="L39" s="2" t="str">
        <f>IFERROR(__xludf.DUMMYFUNCTION("""COMPUTED_VALUE"""),"ORD1011")</f>
        <v>ORD1011</v>
      </c>
      <c r="M39" s="2" t="str">
        <f>IFERROR(__xludf.DUMMYFUNCTION("""COMPUTED_VALUE"""),"Musa Abubakar")</f>
        <v>Musa Abubakar</v>
      </c>
      <c r="N39" s="2" t="str">
        <f>IFERROR(__xludf.DUMMYFUNCTION("""COMPUTED_VALUE"""),"Lagos")</f>
        <v>Lagos</v>
      </c>
      <c r="S39" s="2" t="str">
        <f>IFERROR(__xludf.DUMMYFUNCTION("""COMPUTED_VALUE"""),"ORD1018")</f>
        <v>ORD1018</v>
      </c>
      <c r="T39" s="2" t="str">
        <f>IFERROR(__xludf.DUMMYFUNCTION("""COMPUTED_VALUE"""),"Fatima Bello")</f>
        <v>Fatima Bello</v>
      </c>
      <c r="U39" s="2" t="str">
        <f>IFERROR(__xludf.DUMMYFUNCTION("""COMPUTED_VALUE"""),"Accessory")</f>
        <v>Accessory</v>
      </c>
      <c r="V39" s="2" t="str">
        <f>IFERROR(__xludf.DUMMYFUNCTION("""COMPUTED_VALUE"""),"Phone Case")</f>
        <v>Phone Case</v>
      </c>
      <c r="Y39" s="2" t="str">
        <f>IFERROR(__xludf.DUMMYFUNCTION("QUERY(A1:O31,""SELECT D ,SUM(K) GROUP BY D SUM BY ORDER(K) DESC"")"),"#VALUE!")</f>
        <v>#VALUE!</v>
      </c>
    </row>
    <row r="40">
      <c r="L40" s="2" t="str">
        <f>IFERROR(__xludf.DUMMYFUNCTION("""COMPUTED_VALUE"""),"ORD1014")</f>
        <v>ORD1014</v>
      </c>
      <c r="M40" s="2" t="str">
        <f>IFERROR(__xludf.DUMMYFUNCTION("""COMPUTED_VALUE"""),"Victor Paul")</f>
        <v>Victor Paul</v>
      </c>
      <c r="N40" s="2" t="str">
        <f>IFERROR(__xludf.DUMMYFUNCTION("""COMPUTED_VALUE"""),"Lagos")</f>
        <v>Lagos</v>
      </c>
      <c r="S40" s="2" t="str">
        <f>IFERROR(__xludf.DUMMYFUNCTION("""COMPUTED_VALUE"""),"ORD1021")</f>
        <v>ORD1021</v>
      </c>
      <c r="T40" s="2" t="str">
        <f>IFERROR(__xludf.DUMMYFUNCTION("""COMPUTED_VALUE"""),"Amina Idris")</f>
        <v>Amina Idris</v>
      </c>
      <c r="U40" s="2" t="str">
        <f>IFERROR(__xludf.DUMMYFUNCTION("""COMPUTED_VALUE"""),"Accessory")</f>
        <v>Accessory</v>
      </c>
      <c r="V40" s="2" t="str">
        <f>IFERROR(__xludf.DUMMYFUNCTION("""COMPUTED_VALUE"""),"Logitech Mouse")</f>
        <v>Logitech Mouse</v>
      </c>
    </row>
    <row r="41">
      <c r="L41" s="2" t="str">
        <f>IFERROR(__xludf.DUMMYFUNCTION("""COMPUTED_VALUE"""),"ORD1019")</f>
        <v>ORD1019</v>
      </c>
      <c r="M41" s="2" t="str">
        <f>IFERROR(__xludf.DUMMYFUNCTION("""COMPUTED_VALUE"""),"Segun Adebayo")</f>
        <v>Segun Adebayo</v>
      </c>
      <c r="N41" s="2" t="str">
        <f>IFERROR(__xludf.DUMMYFUNCTION("""COMPUTED_VALUE"""),"Lagos")</f>
        <v>Lagos</v>
      </c>
      <c r="S41" s="2" t="str">
        <f>IFERROR(__xludf.DUMMYFUNCTION("""COMPUTED_VALUE"""),"ORD1024")</f>
        <v>ORD1024</v>
      </c>
      <c r="T41" s="2" t="str">
        <f>IFERROR(__xludf.DUMMYFUNCTION("""COMPUTED_VALUE"""),"Musa Abubakar")</f>
        <v>Musa Abubakar</v>
      </c>
      <c r="U41" s="2" t="str">
        <f>IFERROR(__xludf.DUMMYFUNCTION("""COMPUTED_VALUE"""),"Accessory")</f>
        <v>Accessory</v>
      </c>
      <c r="V41" s="2" t="str">
        <f>IFERROR(__xludf.DUMMYFUNCTION("""COMPUTED_VALUE"""),"Power Bank")</f>
        <v>Power Bank</v>
      </c>
    </row>
    <row r="42">
      <c r="L42" s="2" t="str">
        <f>IFERROR(__xludf.DUMMYFUNCTION("""COMPUTED_VALUE"""),"ORD1022")</f>
        <v>ORD1022</v>
      </c>
      <c r="M42" s="2" t="str">
        <f>IFERROR(__xludf.DUMMYFUNCTION("""COMPUTED_VALUE"""),"David Ojo")</f>
        <v>David Ojo</v>
      </c>
      <c r="N42" s="2" t="str">
        <f>IFERROR(__xludf.DUMMYFUNCTION("""COMPUTED_VALUE"""),"Lagos")</f>
        <v>Lagos</v>
      </c>
      <c r="S42" s="2" t="str">
        <f>IFERROR(__xludf.DUMMYFUNCTION("""COMPUTED_VALUE"""),"ORD1027")</f>
        <v>ORD1027</v>
      </c>
      <c r="T42" s="2" t="str">
        <f>IFERROR(__xludf.DUMMYFUNCTION("""COMPUTED_VALUE"""),"Daniel Kings")</f>
        <v>Daniel Kings</v>
      </c>
      <c r="U42" s="2" t="str">
        <f>IFERROR(__xludf.DUMMYFUNCTION("""COMPUTED_VALUE"""),"Accessory")</f>
        <v>Accessory</v>
      </c>
      <c r="V42" s="2" t="str">
        <f>IFERROR(__xludf.DUMMYFUNCTION("""COMPUTED_VALUE"""),"Airpods Pro")</f>
        <v>Airpods Pro</v>
      </c>
    </row>
    <row r="43">
      <c r="L43" s="2" t="str">
        <f>IFERROR(__xludf.DUMMYFUNCTION("""COMPUTED_VALUE"""),"ORD1024")</f>
        <v>ORD1024</v>
      </c>
      <c r="M43" s="2" t="str">
        <f>IFERROR(__xludf.DUMMYFUNCTION("""COMPUTED_VALUE"""),"Musa Abubakar")</f>
        <v>Musa Abubakar</v>
      </c>
      <c r="N43" s="2" t="str">
        <f>IFERROR(__xludf.DUMMYFUNCTION("""COMPUTED_VALUE"""),"Lagos")</f>
        <v>Lagos</v>
      </c>
    </row>
    <row r="44">
      <c r="L44" s="2" t="str">
        <f>IFERROR(__xludf.DUMMYFUNCTION("""COMPUTED_VALUE"""),"ORD1029")</f>
        <v>ORD1029</v>
      </c>
      <c r="M44" s="2" t="str">
        <f>IFERROR(__xludf.DUMMYFUNCTION("""COMPUTED_VALUE"""),"Prince Okoro")</f>
        <v>Prince Okoro</v>
      </c>
      <c r="N44" s="2" t="str">
        <f>IFERROR(__xludf.DUMMYFUNCTION("""COMPUTED_VALUE"""),"Lagos")</f>
        <v>Lagos</v>
      </c>
    </row>
  </sheetData>
  <conditionalFormatting sqref="K1:K1000">
    <cfRule type="cellIs" dxfId="0" priority="1" operator="greaterThan">
      <formula>800000</formula>
    </cfRule>
  </conditionalFormatting>
  <dataValidations>
    <dataValidation type="list" allowBlank="1" showErrorMessage="1" sqref="C17">
      <formula1>"C014"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3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</sheetData>
  <drawing r:id="rId2"/>
</worksheet>
</file>